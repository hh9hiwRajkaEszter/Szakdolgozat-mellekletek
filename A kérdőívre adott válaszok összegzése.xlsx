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rajka\Desktop\"/>
    </mc:Choice>
  </mc:AlternateContent>
  <xr:revisionPtr revIDLastSave="0" documentId="13_ncr:1_{819BA94D-0BD9-461B-A776-9268D2A954D6}" xr6:coauthVersionLast="47" xr6:coauthVersionMax="47" xr10:uidLastSave="{00000000-0000-0000-0000-000000000000}"/>
  <bookViews>
    <workbookView xWindow="23125" yWindow="-109" windowWidth="23451" windowHeight="12561" activeTab="2" xr2:uid="{00000000-000D-0000-FFFF-FFFF00000000}"/>
  </bookViews>
  <sheets>
    <sheet name="Első" sheetId="1" r:id="rId1"/>
    <sheet name="Második" sheetId="2" r:id="rId2"/>
    <sheet name="Összeveté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3" l="1"/>
  <c r="N7" i="3" s="1"/>
  <c r="M6" i="3"/>
  <c r="N6" i="3" s="1"/>
  <c r="N3" i="3"/>
  <c r="N4" i="3"/>
  <c r="N5" i="3"/>
  <c r="N2" i="3"/>
  <c r="M5" i="3"/>
  <c r="M2" i="3"/>
  <c r="C17" i="3"/>
  <c r="L17" i="3"/>
  <c r="K17" i="3"/>
  <c r="J17" i="3"/>
  <c r="I17" i="3"/>
  <c r="H17" i="3"/>
  <c r="G17" i="3"/>
  <c r="F17" i="3"/>
  <c r="E17" i="3"/>
  <c r="D17" i="3"/>
  <c r="M16" i="3"/>
  <c r="M15" i="3"/>
  <c r="M17" i="3" s="1"/>
  <c r="M14" i="3"/>
  <c r="M13" i="3"/>
  <c r="M12" i="3"/>
  <c r="M11" i="3"/>
  <c r="D8" i="3"/>
  <c r="E8" i="3"/>
  <c r="F8" i="3"/>
  <c r="G8" i="3"/>
  <c r="H8" i="3"/>
  <c r="I8" i="3"/>
  <c r="J8" i="3"/>
  <c r="K8" i="3"/>
  <c r="L8" i="3"/>
  <c r="C8" i="3"/>
  <c r="M3" i="3"/>
  <c r="M4" i="3"/>
  <c r="M8" i="3" l="1"/>
</calcChain>
</file>

<file path=xl/sharedStrings.xml><?xml version="1.0" encoding="utf-8"?>
<sst xmlns="http://schemas.openxmlformats.org/spreadsheetml/2006/main" count="727" uniqueCount="592">
  <si>
    <t>Kérdések</t>
  </si>
  <si>
    <t>A alany</t>
  </si>
  <si>
    <t>B alany</t>
  </si>
  <si>
    <t>C alany</t>
  </si>
  <si>
    <t>D alany</t>
  </si>
  <si>
    <t>E alany</t>
  </si>
  <si>
    <t>F alany</t>
  </si>
  <si>
    <t>G alany</t>
  </si>
  <si>
    <t>H alany</t>
  </si>
  <si>
    <t>I alany</t>
  </si>
  <si>
    <t>J alany</t>
  </si>
  <si>
    <t>Amikor először meglátod az oldalt, mit gondolsz, mi a Forum lényege, mit kínál pontosan?</t>
  </si>
  <si>
    <t>Ha egy mondatban kellene megfogalmaznod, mit ígér a Forum a fiataloknak, hogyan mondanád?</t>
  </si>
  <si>
    <t>Volt-e valami, amit hiányoltál ahhoz, hogy jobban lásd, miben segíthet a Forum?</t>
  </si>
  <si>
    <t xml:space="preserve">Useful </t>
  </si>
  <si>
    <t xml:space="preserve">Usable </t>
  </si>
  <si>
    <t>Kérdéscsoport</t>
  </si>
  <si>
    <t>Amikor először megérkeztél az oldalra, mi volt az első dolog, amire rákattintottál volna, vagy amit meg akartál keresni?</t>
  </si>
  <si>
    <t>Találtál-e olyan részt, ahol elbizonytalanodtál, hogy hova kellene kattintani vagy merre tovább? Ha igen, hol?</t>
  </si>
  <si>
    <t>Van-e olyan elem (gomb, menü, link), ami szerinted félrevezető vagy nem egyértelmű?</t>
  </si>
  <si>
    <t>Ha egy dolgot változtatnál a felépítésen vagy navigáción, mi lenne az?</t>
  </si>
  <si>
    <t xml:space="preserve">Desirable </t>
  </si>
  <si>
    <t>Mi volt az első benyomásod az oldal kinézetéről, amikor megnyitottad?</t>
  </si>
  <si>
    <t>Melyik vizuális elem (színek, képek, tipográfia, elrendezés) tetszett a legjobban, és miért?</t>
  </si>
  <si>
    <t>Volt-e olyan vizuális elem, ami zavaró volt vagy nem illett az oldalhoz?</t>
  </si>
  <si>
    <t>Ha a Forum landing page egy személy lenne, hogyan jellemeznéd a stílusát vagy személyiségét?</t>
  </si>
  <si>
    <t xml:space="preserve">Findable </t>
  </si>
  <si>
    <t>Kérlek, mutasd meg, hol találnál információt a konferenciákról vagy előadásokról.</t>
  </si>
  <si>
    <t>Hol regisztrálnál be a landing page alapján?</t>
  </si>
  <si>
    <t xml:space="preserve">Accessible </t>
  </si>
  <si>
    <t>Mennyire volt számodra könnyen olvasható az oldal szövege (betűméret, színek, háttér-kontraszt)?</t>
  </si>
  <si>
    <t>Volt-e olyan rész, ahol túl sok vagy túl kevés információt kaptál, és emiatt nehezebb volt megérteni?</t>
  </si>
  <si>
    <t>Ha egy dolgot változtatnál, hogy az oldal mindenki számára könnyebben hozzáférhető legyen, mi lenne az?</t>
  </si>
  <si>
    <t>Credible</t>
  </si>
  <si>
    <t>Mennyire tűnik számodra hitelesnek a Forum a landing page alapján?</t>
  </si>
  <si>
    <t>Valuable</t>
  </si>
  <si>
    <t>Mi volt az az oldalrész vagy elem (pl. szöveg, gomb, vizuális megoldás), ami a legjobban segített megérteni, miről szól a Forum?</t>
  </si>
  <si>
    <t>Volt-e olyan pont az oldalon, ami kifejezetten megkönnyítette, hogy eligazodj vagy megtaláld, amit kerestél? Mi volt az?</t>
  </si>
  <si>
    <t>Ha egy dolgot ki kellene emelned, ami hiányzott vagy ami zavaró volt, mi lenne az, és hogyan képzelnéd el jobban?</t>
  </si>
  <si>
    <r>
      <t xml:space="preserve">Van-e olyan információ vagy elem, amit </t>
    </r>
    <r>
      <rPr>
        <sz val="11"/>
        <color rgb="FF000000"/>
        <rFont val="Calibri"/>
        <family val="2"/>
        <charset val="238"/>
        <scheme val="minor"/>
      </rPr>
      <t>hiányolsz ahhoz, hogy jobban megbízz a platformban (pl. referenciák, partnerek, visszajelzések)?</t>
    </r>
  </si>
  <si>
    <r>
      <t xml:space="preserve">Van-e valami az oldalon, ami különösen </t>
    </r>
    <r>
      <rPr>
        <sz val="11"/>
        <color rgb="FF000000"/>
        <rFont val="Calibri"/>
        <family val="2"/>
        <charset val="238"/>
        <scheme val="minor"/>
      </rPr>
      <t>erősíti a bizalmat benned (pl. dizájn, szöveg, hangvétel)?</t>
    </r>
  </si>
  <si>
    <r>
      <t>Skála (1–10):</t>
    </r>
    <r>
      <rPr>
        <sz val="11"/>
        <color rgb="FF000000"/>
        <rFont val="Calibri"/>
        <family val="2"/>
        <charset val="238"/>
        <scheme val="minor"/>
      </rPr>
      <t xml:space="preserve"> Ha mobilról néznéd, mennyire tudod elképzelni, hogy kényelmesen használd az oldalt?</t>
    </r>
  </si>
  <si>
    <r>
      <t>Skála (1–10):</t>
    </r>
    <r>
      <rPr>
        <sz val="11"/>
        <color rgb="FF000000"/>
        <rFont val="Calibri"/>
        <family val="2"/>
        <charset val="238"/>
        <scheme val="minor"/>
      </rPr>
      <t xml:space="preserve"> Ha most gyorsan meg kellene tudnod, milyen lehetőségeket kínál a Forum (pl. versenyek, pályázatok), mennyire tartod egyszerűnek, hogy ezt megtaláld?</t>
    </r>
  </si>
  <si>
    <r>
      <t>Skála (1–10):</t>
    </r>
    <r>
      <rPr>
        <sz val="11"/>
        <color rgb="FF000000"/>
        <rFont val="Calibri"/>
        <family val="2"/>
        <charset val="238"/>
        <scheme val="minor"/>
      </rPr>
      <t xml:space="preserve"> Mennyire érzed az oldal megjelenését professzionálisnak?</t>
    </r>
  </si>
  <si>
    <r>
      <t>Skála (1–10):</t>
    </r>
    <r>
      <rPr>
        <sz val="11"/>
        <color rgb="FF000000"/>
        <rFont val="Calibri"/>
        <family val="2"/>
        <charset val="238"/>
        <scheme val="minor"/>
      </rPr>
      <t xml:space="preserve"> Ha most regisztrálnod kellene, mennyire éreznéd megbízhatónak ezt megtenni?</t>
    </r>
  </si>
  <si>
    <r>
      <t>Skála (1–10):</t>
    </r>
    <r>
      <rPr>
        <sz val="11"/>
        <color rgb="FF000000"/>
        <rFont val="Calibri"/>
        <family val="2"/>
        <charset val="238"/>
        <scheme val="minor"/>
      </rPr>
      <t xml:space="preserve"> Mennyire látod úgy, hogy a Forum által kínált lehetőségek hasznosak lennének számodra vagy a korosztályodnak? Tudsz mondani példát, ami téged érdekelne?</t>
    </r>
  </si>
  <si>
    <r>
      <t>Skála (1–10):</t>
    </r>
    <r>
      <rPr>
        <sz val="11"/>
        <color rgb="FF000000"/>
        <rFont val="Calibri"/>
        <family val="2"/>
        <charset val="238"/>
        <scheme val="minor"/>
      </rPr>
      <t xml:space="preserve"> Mennyire tartod hasznosnak vagy relevánsnak a Forumot a saját életedben?</t>
    </r>
  </si>
  <si>
    <t>Valahogy nekem a színek használata és maga az első kép rögtön azt sugallta, hogy ez egyértelműen fiatalokat megcélzó oldal, ami valamilyen módon segíteni akar nekik. Az egésznek van egy támogató, inspiráló hangulata. Alapvetően látom, hogy Erasmus-programokat gyűjt össze, meg ha lejjebb megyek, ott van a „Lehetőségek” rész, ahol rengeteg különféle programot sorol fel – tehát úgy tűnik, hogy ezek a diákoknak szóló, külföldi és hazai lehetőségek egy helyre gyűjtve.</t>
  </si>
  <si>
    <t>Kérdések2</t>
  </si>
  <si>
    <t>Én 22 éves, másodéves egyetemista vagyok, és azokat a programokat, amiket itt látok, abszolút hasznosnak gondolom. Mindenképp a korosztályomat célozza meg, és szerintem nagyon jól átlátható, felhasználóbarát az oldal. Úgyhogy én erre egy tízest adnék. Nem igazán látok benne olyat, ami hiányozna.</t>
  </si>
  <si>
    <t>Egy izgalmas jövőt.</t>
  </si>
  <si>
    <t>Most jelenleg egy nyolcast adnék. Még nem érzem úgy, hogy ebben a pillanatban élnék valamelyik lehetőséggel, de abszolút látom magam, hogy a közeljövőben keresnék valamit ezen az oldalon.</t>
  </si>
  <si>
    <t>Most így elsőre nem tudok ilyet mondani. Egyedül talán annyi, hogy nekem az oldal angolul jelent meg, és ez valószínűleg azért van, mert a gépem vagy az iPadem nyelve angolra van állítva. Jó lenne, ha lenne rajta egy lehetőség, amivel át lehet váltani magyarra, vagy akár más nyelvre is. Akár automatikusan is felismerhetné a beállított nyelvet.</t>
  </si>
  <si>
    <t>Az első, ami rögtön megtetszett, az az „Önkéntes programok” volt. Arra kattintottam volna rá. Ott most azt írja, hogy nincs aktív lehetőség, de gondolom máskor van</t>
  </si>
  <si>
    <t>Nem, szerintem nem. Az oldal nagyon letisztult.</t>
  </si>
  <si>
    <t>Szerintem tízest. A legtetején majdnem minden ott van, ami fontos lehet, és minden logikusan fel van építve.</t>
  </si>
  <si>
    <t>Valamiért rögtön kerestem a megszokott „hamburger” menüt – azt a három vízszintes csíkot –, de aztán gyorsan rájöttem, hogy hol van a kezdőlap és hogyan lehet navigálni. Ezen kívül nem hiányoltam semmit.</t>
  </si>
  <si>
    <t>Talán az, hogy telefonról is elérhető legyen, mert sokan útközben néznék meg az oldalt, és olyankor csak a telefon van kéznél.</t>
  </si>
  <si>
    <t>Szerintem nagyon jó a színhasználat. Az a sötét, indigókék-szerű árnyalat és a fehér szöveg együtt nagyon harmonikus. Energetizáló, mégis kellemes a szemnek. A képek ízlésesek, a betűtípus letisztult, a logó is szép. Összességében vizuálisan igényes, profi benyomást kelt.</t>
  </si>
  <si>
    <t>Nem, szerintem minden nagyon jól össze van hangolva. Még a projektek közben készült fotók is jól illenek az oldal elrendezésébe.</t>
  </si>
  <si>
    <t>Tízest adnék. Egyáltalán nincs bennem az az érzés, hogy ne lenne profi.</t>
  </si>
  <si>
    <t>Egy húszas évei közepén vagy végén járó nőként képzelem el. Valahogy a színek miatt ez az asszociáció jött bennem elő. Nem is konkrét megjelenést látok magam előtt, inkább egyfajta karaktert tudok elképzelni: fiatal, lendületes, nyitott.</t>
  </si>
  <si>
    <t>A konferenciák részt körülbelül másfél görgetéssel lejjebb találtam meg a lap tetejétől. Nagyon egyszerű volt: rákattintottam, és megjelentek a korábbi konferenciák is. Most épp nincs aktív lehetőség, de látom, hogy ez változik, és biztosan lesz még. Egyébként a jobb felső sarokban is van elérhetőség, és az oldal alsó harmadában is fel van tüntetve a navigációs lehetőség.</t>
  </si>
  <si>
    <t>Szerintem nagyon jól megfogalmazott mondatokat használ az oldal. Jók a kontrasztok, a betűméret megfelelő, a lényeges részek jól ki vannak emelve. A címek látványosak, és a szövegek alapján könnyű eligazodni.</t>
  </si>
  <si>
    <t>Úgy látom, mindenhol a szükséges mennyiség van. Ha regisztrálnék és belépnék, valószínűleg sokkal több információt kapnék. Tetszik, hogy nincs „infóáradat”, amitől elveszne a figyelmem.</t>
  </si>
  <si>
    <t>Nekem iPaden kényelmesebb. Telefonon kicsit soknak tűnik a szöveg, és talán érdemes lenne bizonyos részeket lenyithatóvá tenni. Összességében egy hetest adnék rá.</t>
  </si>
  <si>
    <t>Lehet, hogy csak én nem találkoztam vele, de nem láttam még hirdetve az oldalt. Pedig szerintem, ha több emberhez eljutna reklámokon keresztül, azzal még több diákot elérne.</t>
  </si>
  <si>
    <t>Abszolút hitelesnek tűnik. Már másoktól is hallottam róla, és ha most éppen Erasmusra készülnék, akkor biztosan itt keresném először a lehetőségeket. Maga az oldal is meggyőző.</t>
  </si>
  <si>
    <t>A lehetőségek száma és sokfélesége. Ha csak egy területre fókuszálna – mondjuk csak Erasmusra vagy csak önkéntességre –, kevésbé tűnne átfogónak, így viszont sokféle igényt lefed.</t>
  </si>
  <si>
    <t>Nem jut eszembe semmi.</t>
  </si>
  <si>
    <t>Tízest adnék. Egyáltalán nem találtam benne semmit, ami miatt kételkednem kellene.</t>
  </si>
  <si>
    <t>Mindenképpen a „Lehetőségek” rész. Ott láttam, hogy Erasmus+, önkéntes programok és hasonló lehetőségek szerepelnek.</t>
  </si>
  <si>
    <t>Igen, megint csak a „Lehetőségek” rész. Ott nagyon egyértelmű minden.</t>
  </si>
  <si>
    <t>Számomra zavaró volt, hogy amikor kattintgattam a lehetőségek között, több kategóriában is azt írta, hogy jelenleg nincsenek elérhető programok.</t>
  </si>
  <si>
    <t>Van-e bármi más észrevételed, amit még elmondanál?</t>
  </si>
  <si>
    <t>A felső menüsorban van egy „For Organizations” gomb, arra rákattintva a „Forum szervezeti regisztráció” oldal jön be. Nem volt teljesen egyértelmű, hogy ez pontosan kinek szól. Jó lenne egy rövid magyarázat, hogy ez a szervezeteknek szánt rész, ahol ők tudnának jelentkezni, ha szeretnék feltölteni a saját programjaikat.</t>
  </si>
  <si>
    <t>Színek, nekem tetszik a letisztult betűtípus is</t>
  </si>
  <si>
    <t>Átszoktam olvasni az oldalt, látom hogy a jobb felső sarokban is, de az oldalon ott van a regisztrálj egy perc alatt én ott tenném meg</t>
  </si>
  <si>
    <t>Mivel voltam egyetemi hallgató, és valamilyen szinten most is az vagyok, tudom, mi az az Erasmus+. Azt látom, hogy az oldal jól összegyűjti az Erasmus+ külföldi lehetőségeket — jelenleg főként ezt. Más területen mintha kevesebb lenne a kínálat. Vannak vélemények is, a színvilág figyelemfelkeltő, és erős az Erasmus+-fókusz.</t>
  </si>
  <si>
    <t>Nem voltam még együtt programban, szóval ez a lehetőség kifejezetten megfogott. Őszintén szólva szerintem a diákokat itt inkább az utazás része érdekli, mint a szigorúan vett szakmai program — és az oldal is erre helyez hangsúlyt. „Ingyen utazás” szempontból hét.</t>
  </si>
  <si>
    <t>„Ingyen utazás iroda.”</t>
  </si>
  <si>
    <t>Hatos, PhD-hallgató vagyok, így hatos. Ha a „Konferencia” fül alatt tudományos konferenciák is fel lennének sorolva, lehetne magasabb is. Most még kicsit kezdetlegesnek tűnik ez a rész, több minden hiányzik.</t>
  </si>
  <si>
    <t>Jól jönne, ha erősebben leírná, milyen konkrét szakmai hozadékok nyerhetők ki: mit tanulhatok, milyen készségeket, kapcsolati tőkét ad, milyen kimenetek vannak.</t>
  </si>
  <si>
    <t>Az egyik kártyára, amin egy szép város látható.</t>
  </si>
  <si>
    <t>Amikor felugrott, hogy „regisztrálj egy perc alatt”, először azt hittem, bugos az oldal. Nem volt egyértelmű, hogy tényleg regisztrálnom kell-e, hogy lássam a részleteket.</t>
  </si>
  <si>
    <t>Nyolc. Azért nem tíz, mert az azonnali regisztrációs kényszer megtöri a folyamatot.</t>
  </si>
  <si>
    <t>Nincs kifejezetten.</t>
  </si>
  <si>
    <t>Kattintás után inkább egy felugró ablak jelenjen meg: maradjak a weboldalon, és egy pop-up tájékoztasson, hogy a részletekhez regisztráció kell. Így kevésbé „ránt ki” az élményből.</t>
  </si>
  <si>
    <t>Szép, letisztult, jók a színek és a formák. Az elemek, ikonok, elrendezés ízléses.</t>
  </si>
  <si>
    <t>A gombok — vizuálisan is hívogatóak. Ugyanakkor jó lenne, ha mögöttük több tartalom jelenne meg.</t>
  </si>
  <si>
    <t>Az alján a News &amp; Media rész furcsa: a szöveg le van vágva, bele kell kattintani, és nem egyértelmű, hogy a LinkedInre visz. Ez zavaró.</t>
  </si>
  <si>
    <t>Kilenc. A regisztrációs „leugrás” és a News &amp; Media megoldása miatt nem tíz.</t>
  </si>
  <si>
    <t>Huszonéves, pörgős egyetemista: futkorászik az órák között, közben projektekben is benne van; kissé „bölcsész vibe”, de praktikus.</t>
  </si>
  <si>
    <t>Sehol… illetve itt van — de nem dobja fel elsőre. Ez így nagyon rossz: nem jelenik meg azonnal a találat.</t>
  </si>
  <si>
    <t>Jobb felső sarokból indulnék — mintha ott lenne csak. De szívesebben intézném ezt egy felugró ablakban; profibbnak hatna.</t>
  </si>
  <si>
    <t>Teljesen jó, tízes. Figyelemfelkeltő.</t>
  </si>
  <si>
    <t>Az „Alapításunk óta” számok alá jók lennének ikonok vagy egyszerű infografikák, hogy irányítsák a figyelmet. Most csak számokat látok, nem fog meg annyira.</t>
  </si>
  <si>
    <t>Hatos, Elsőre furcsa, hogy fent „elbújik” a fejléc; a betűk alja látszik, mintha bugos lenne. Ami középen van, az rendben. Összességében laptopon jobb. Mobilon közepes-kényelmes.</t>
  </si>
  <si>
    <t>A felső regisztrációs nyomás enyhítése. Inkább vigyen egy konkrét lehetőségre, és onnan, érthető kontextusban kérje a regisztrációt. Így kevésbé riasztó.</t>
  </si>
  <si>
    <t>Közepesen. A „Fórum segített rátalálni” típusú vélemények bárhonnan jöhetnek — lehetne erősebb a bemutatkozás, arccal, névvel, történettel: ki áll a projekt mögött.</t>
  </si>
  <si>
    <t>A Google- és Apple-fiókos regisztráció valamennyit hozzáad — nem értek mélyen az IT-biztonsághoz, de ez pozitív jel.</t>
  </si>
  <si>
    <t>Igen: személyesebb bemutatkozás azoktól, akik készítik; arcok, nevek, rövid történet.</t>
  </si>
  <si>
    <t>Hat–hét. Furcsa érzés, hogy egy ismeretlen oldalon adjam meg az adataimat. Sokat számítana a kontextus: ha barát ajánlja, aki tényleg járt már ilyen programon, rögtön megbízhatóbbnak hatna. A „7 órája került fel” típusú jelzéseket nem ellenőrzöm vissza — akár napokig kint lehetne így is.</t>
  </si>
  <si>
    <t>A képes kártyák a feliratokkal — „Üzlet, innováció, startup-képzés”. A „Missziónk” rész is rendben van; a nyitókép jól érzékelteti a hangulatot: fiatalok külföldön beszélgetnek.</t>
  </si>
  <si>
    <t>A csempés szűrés jó — az ugrópontok és kategóriák sokat segítenek.</t>
  </si>
  <si>
    <t>A regisztrációs „ugrás” hirtelen és tolakodó. Ezt minden esetben egy összeszedett, informáló pop-up-pal oldanám meg.</t>
  </si>
  <si>
    <t>Izgalmas lenne egy térképes nézet, ahol a lehetőségek Európa-térképen jelennek meg. Az appban akár „tinderes” jellegű lapozás is működhetne: jobbra-balra húzva lehetőségeket — ha van elég kínálat, ez játékosabbá tenné a böngészést.</t>
  </si>
  <si>
    <t>Fiataloknak kínál lehetőségeket — ez jön le első ránézésre. Látom, hogy van startup-képzés is, üzleti és innovációs képzés; ezt most olvastam el, eddig nem tudtam, hogy ez is benne van.</t>
  </si>
  <si>
    <t>Hasznosnak tartom. Az más kérdés, hogy én mennyire használnám ki — eddig nem nagyon éltem ilyen lehetőségekkel, kicsit félénk vagyok. De mindenképp hasznos. Olyan nyolcast adnék. Tehát magas pontszám, mert hasznosnak gondolom, még ha én eddig nem is használtam ki.</t>
  </si>
  <si>
    <t>Összeszedve mutat meg olyan lehetőségeket, amelyeket máshol nehéz megtalálni — információt ad.</t>
  </si>
  <si>
    <t xml:space="preserve">Nyolcas Hasznos, de kevésbé releváns, mert eddig nem éltem ezekkel; az Erasmus áll hozzám a legközelebb, talán azzal majd élnék. </t>
  </si>
  <si>
    <t>Nem igazán. Nem várom el, hogy a landing page részletesen leírja egyes programok jelentkezési lépéseit; az rendben van, hogy az már beljebb derül ki.</t>
  </si>
  <si>
    <t>Valamelyik konkrét lehetőségre, a képes kártyákra — például egy „training course”-ra.</t>
  </si>
  <si>
    <t>Nem bizonytalanodtam el. Inkább azt láttam, hogy ha épp nincs verseny vagy önkéntes program, akkor a megfelelő kategóriában üres a lista — ez normális. Most például konferencia van, verseny és önkéntes program is van, de előfordulhat, hogy nincs.</t>
  </si>
  <si>
    <t>Hetes Ha nagyon konkrét dolog van a fejemben (mit, melyik országban), akkor nem annyira egyszerű. Ha „bármi jó”, akkor nagyon sok lehetőség van, úgy könnyű. Tehát általánosan egyszerű, de nagyon célzott keresésnél nehezebb.</t>
  </si>
  <si>
    <t>Nem félrevezető, csak néha üres egy-egy gomb mögött a lista, ha épp nincs lehetőség. Ettől függetlenül az összeállítás elég egyértelmű.</t>
  </si>
  <si>
    <t>Nekem így kézre áll, nem nagyon változtatnék semmit. Tetszik, hogy sávokba van rendezve, jól elkülöníthető.</t>
  </si>
  <si>
    <t>Fiatalos, „újszerű” — a modern honlapokhoz hasonló felépítés, a régebbiektől eltérő, de könnyen értelmezhető.</t>
  </si>
  <si>
    <t>A „Lehetőségek” rész: ahogy a kártyák sorban vannak, jól néz ki, a képek és a színek is jók. Olyan hangulata van, mint amikor repülőjegyet foglalsz: különböző helyek, és meghozza a kedved.</t>
  </si>
  <si>
    <t>Nekem nem; minden a helyén van.</t>
  </si>
  <si>
    <t>Tízesnek. Jól van összerakva. Az oldal alján most kicsit szét van csúszva valami, le van vágva egy szöveg — de ez elnézhető.</t>
  </si>
  <si>
    <t>Lendületes, fiatalos — olyan, mint akik készítették. Sok mindent csinál egyszerre, minden lehetőséget megragad; elegáns, mégis kényelmesen öltözik, hogy bírja a sok programot.</t>
  </si>
  <si>
    <t>A „Lehetőségek” között, a „Konferencia” és „Előadás” kategóriáknál.</t>
  </si>
  <si>
    <t>Jobb felső sarokban — az a legegyértelműbb, mert görgetés közben is látszik. Lejjebb is vannak regisztrációs pontok, de a jobb felső a megszokott.</t>
  </si>
  <si>
    <t>Teljesen jól olvasható. Pár helyen lehet valakinek kicsi a betűméret (például a számok alatti magyarázat a „Lehetőségek” résznél), de összességében rendben. A „News &amp; Media” résznél fura, hogy nem tölti be a Facebook-videót, és nincs jelzés, hogy ott videó lenne — emiatt szokatlan.</t>
  </si>
  <si>
    <t>Hetes. Laptophoz képest szét van esve, sokat kell görgetni, minden egymás alatt van, így kevésbé átlátható, mint gépen — de ez mobilon természetes. Pozitívum, hogy van mobilapp; nem olyan, mint némely oldal, ami telefonon használhatatlan. Itt mobilon is jól használható, csak kevésbé átlátható, mint gépen.</t>
  </si>
  <si>
    <t>Az elejére tennék egy olyan részt, ahol rá lehet kattintani, és az adott blokkhoz ugrik: „Lehetőségek”, „Startup workshopok” stb. Inkább menü jelleggel, ahol ki lehet választani, mit szeretnél látni.</t>
  </si>
  <si>
    <t>Nekem teljesen hiteles — bár ismerem a Fórumot. Ha nem ismerném, akkor is elég egyértelmű, hogy nem átverés, nem „kamunak” tűnő oldal.</t>
  </si>
  <si>
    <t>A dizájn igen, és az is, hogy konkrét képek vannak valós workshopokról, képzésekről. Akkor is pluszpont, ha nem ismerném az embereket a képeken.</t>
  </si>
  <si>
    <t>Nem. Az Erasmus-jelentkezéseknél gondolom a folyamat átirányít a hivatalos felületre, ott úgyis egyértelművé válik minden.</t>
  </si>
  <si>
    <t>Tíz — ehhez nem nagyon tudok mit hozzátenni.</t>
  </si>
  <si>
    <t>A „Lehetőségek” blokk. A nyitó üzenet („találj életre szóló lehetőségeket”) jó, de amikor konkrétan látod, mik vannak, az segít igazán megérteni, mennyi mindenből lehet válogatni.</t>
  </si>
  <si>
    <t>A „Lehetőségek” gombjai: jó, hogy külön van Erasmus, verseny, előadás — nem minden egy kupacban.</t>
  </si>
  <si>
    <t>Nekem nem hiányzott semmi. Ami zavaró: az oldal legalja kissé kaotikus. A két telefonos kép fentebb már szerepel, itt megint feltűnik; a „legfrissebb cikkeink” kártyán a szöveg alig olvasható, nem derül ki elsőre, miről szól. Még: az egyik kép magasabb, mint a mellette lévők, ez zavaró; a jobb oldali, „Üzleti és innovációs képzés” képe torzít, mintha aránytalanul hosszú lenne a fej a fotón.</t>
  </si>
  <si>
    <t>Nem.</t>
  </si>
  <si>
    <t>Szerintem nem volt, eléggé jól össze van szedve, kicsit amit nem értek hogy mi az a news and media rész</t>
  </si>
  <si>
    <t>Szerintem a Fórum a diákok számára „zanzásítja” a külföldi és itthoni tanulási lehetőségeket: konferenciákat, versenyeket, pályázatokat, akár külföldi tanulmányi időt is. Úgy fogalmaznám meg, hogy segít mindenkinek „kimaxolni” a tanulmányi potenciálját.</t>
  </si>
  <si>
    <t>Olyan 8–9-esre értékelném. Fontos szerintem, hogy mindenki elgondolkodjon, merre szeretne továbbmenni a tanulmányaival — hamarosan dönteni kell az érettségi tárgyakról és a felvételiről. Ezek a versenyek, konferenciák, workshopok adhatnak egy kis útmutatást: elmész egy workshopra, és kiderülhet, hogy nem is érdekel annyira az a téma — vagy épp ellenkezőleg, nagyon is. Akkor is hasznos, ha „csak” barátokkal keveredsz oda. Jó lehetőség egyetem előtt kipróbálni, mivel szeretnél foglalkozni.</t>
  </si>
  <si>
    <t>Lehetőséget teremt a fejlődésre és az új dolgok kipróbálására.</t>
  </si>
  <si>
    <t>Még nem használtam sokat, le van töltve, nézelődtem. Úgy gondolom, ha jobban elhatározom magam, és tényleg beadok jelentkezéseket, sok jó dolgot adhat. Most 7–8-asra tenném.</t>
  </si>
  <si>
    <t>Jó lenne, ha minden egyes lehetőségkártyán — például egy barcelonai konferenciánál — a dátum mellett szerepelne a korosztály is, hogy kik jelentkezhetnek.</t>
  </si>
  <si>
    <t>A „Lehetőségek” alatt néztem volna körül. Nagyon szépek a képek, például a barcelonai lehetőség — engem az a kép kifejezetten vonz, arra kattintottam volna.</t>
  </si>
  <si>
    <t>Nem mondanám, hogy volt ilyen.</t>
  </si>
  <si>
    <t>A mostani ismereteimmel 5–6-os. Még nem vagyok jártas a weboldalban és az applikációban, de úgy gondolom, viszonylag könnyen megtalálnám. A landing page alapján alapvetően elég könnyű, de kell 5–10 perc, hogy teljesen átláthatónak érződjön.</t>
  </si>
  <si>
    <t>A „Lehetőségek” alatt a három kép feliratai — például „startup kezdőknek” — számomra kattinthatónak tűntek. Azt hittem, a kis címekre rá lehet kattintani, és ott több információ jelenik meg.</t>
  </si>
  <si>
    <t>A felső kék sávban, a „Kezdőlap” és a „Szervezeteknek” mellett tennék egy „Lehetőségek” menüpontot is, legördülő keresővel. Oda be lehetne írni: Erasmus, önkéntes program, verseny stb., és akár célországot is — így gyorsabban lehetne szűrni a böngészés helyett.</t>
  </si>
  <si>
    <t>Szerintem nagyon jól össze van rakva. Az első kép — a kékbe átmenő, beszélgető emberek — jó kezdés: azt sugallja, hogy ha elmész egy ilyen helyre, új barátokat és társaságot találhatsz. Lefelé görgetve letisztult és elég egyértelmű marad.</t>
  </si>
  <si>
    <t>A képek. Szerintem jól választottak: olyanokat, amelyek megfogják a fiatalokat. Nem konferenciaterem vagy múzeumbelső — ami persze érdekes —, hanem a nagy nevezetességek, amikre jobban felkapjuk a fejünket.</t>
  </si>
  <si>
    <t>Nem mondanám.</t>
  </si>
  <si>
    <t>8–9.</t>
  </si>
  <si>
    <t>Kinézetre letisztult, szervezett emberre gondolnék: aki sok mindent észben tart, van egy naplója, pontok szerint vezet mindent. Ugyanakkor, ha kiruccanásról van szó, barátságos és könnyen beszélget — akár kifejezetten extrovertált is tud lenni. Öltözködésben egyszerű: kék farmer, fehér póló, fekete táska — nagyon letisztult.</t>
  </si>
  <si>
    <t>A „Lehetőségek” résznél. Most épp nincs aktív konferencia/előadás, de ott keresném.</t>
  </si>
  <si>
    <t>Vagy a felső kék „Regisztráció” gombnál, vagy az oldalon lejjebb található regisztrációs szakaszoknál — ezek közül bármelyik megfelel.</t>
  </si>
  <si>
    <t>Tökéletesen olvasható. Az „Alapításunk óta” alatt a vélemények betűmérete lehetne nagyobb, hogy még jobban látszódjon.</t>
  </si>
  <si>
    <t>Nyolcas, kényelmes, de a felső kék sáv túl vastag. Ezt meg lehetne oldani egy klasszikus, három vonalas, legördülő menüvel. Emellett a „Lehetőségek” alatt a címek angolul vannak — ez önmagában nem gond, hiszen külföldi lehetőségekről van szó, de ha valaki (pl. szülő, nagyszülő) nem beszél jól angolul, nekik ez nehezítő tényező lehet.</t>
  </si>
  <si>
    <t>A végtelen görgetés helyett inkább kattintható, lenyíló blokkokat adnék: amire rányomsz, az nyíljon le, és ott jelenjen meg több információ. A landing page most hosszú, nehéz érezni, mikor van vége.</t>
  </si>
  <si>
    <t>Teljesen hitelesnek. Jó látni, hogy a „startup-képzés” és hasonló részeknél fiatalok tanítanak és osztanak meg tapasztalatokat. Vannak meghívott professzorok, előadók is, de alapvetően fiatalok találták ki, és kortársaikért dolgoznak. Az is látszik, hogy a készítők átélték, milyen nehéz ezeket a lehetőségeket megtalálni; pont ezért tették elérhetőbbé a diákoknak, hogy ne azon múljon, eljutnak-e jó helyekre, hogy rábukkannak-e a lehetőségekre.</t>
  </si>
  <si>
    <t>Az „Alapításunk óta” blokk eredményei — például hogy hány országban és mennyi lehetőséget gyűjtöttek — elég meggyőzőek. Emellett a valódi felhasználói vélemények is erősítik a bizalmat.</t>
  </si>
  <si>
    <t>Lehetne rövid bemutatás az alapítókról: pár mondat és egy-két fotó.</t>
  </si>
  <si>
    <t>Tíz.</t>
  </si>
  <si>
    <t>Rögtön az elején, a „Missziónk” alatt: szépen leírja, mi a lényeg — hogy mindenki megtalálja a saját útját a sikerhez.</t>
  </si>
  <si>
    <t xml:space="preserve">A „Lehetőségek” alatt a kategóriákra bontás: ott egyértelműen rá lehet kattintani és továbbmenni.
</t>
  </si>
  <si>
    <t>A korosztály feltüntetése a lehetőségkártyákon hiányzik — jó lenne rögtön látni, kik jelentkezhetnek. Emellett a landing page hossza és a folyamatos görgetés zavaró; rövidebb, jól tagolt, lenyíló blokkokkal átláthatóbb lenne.</t>
  </si>
  <si>
    <t>Nem</t>
  </si>
  <si>
    <t>Először igazából nem tudtam, miről szól. Bejött a kezdőképernyő nagy szöveggel, de a névből sem derül ki, mivel foglalkozik. Láttam egy nagy feliratot és valamilyen New York-i képet is, de ebből nem állt össze a lényeg. Végiggörgettem az oldal aljáig, és ezek alapján először valami Airbnb-típusú, szállásfoglalós oldalra gondoltam. Aztán kiderült, hogy inkább lehetőségeket kínál — főleg Erasmus+ programokat, de mást is.</t>
  </si>
  <si>
    <t>Nyolcas. Először igazából nem tudtam, miről szól. Bejött a kezdőképernyő nagy szöveggel, de a névből sem derül ki, mivel foglalkozik. Láttam egy nagy feliratot és valamilyen New York-i képet is, de ebből nem állt össze a lényeg. Végiggörgettem az oldal aljáig, és ezek alapján először valami Airbnb-típusú, szállásfoglalós oldalra gondoltam. Aztán kiderült, hogy inkább lehetőségeket kínál — főleg Erasmus+ programokat, de mást is.</t>
  </si>
  <si>
    <t>Lehetőséget.</t>
  </si>
  <si>
    <t>Olyan 5-ösre. Alapvetően jónak tűnik, de nem hiszem, hogy ez lenne az első hely, ahol ilyen lehetőségek után néznék — valószínűleg először a Google-ön keresgélnék.</t>
  </si>
  <si>
    <t>Igen. Nekem belépéskor nem derül ki, miről szól az oldal. Az sem, hogy kinek szól pontosan. Egyetemista vagyok, tudom, hogy az Erasmus főleg a diákokat érinti, de itt önkéntes programok, versenyek, konferenciák is vannak — nem világos, hogy ezek mindenkinek, csak fiataloknak vagy egy adott korosztálynak szólnak. Jó lenne, ha ez rögtön, jól láthatóan ki lenne írva, például életkori megjelöléssel. Vizuálisan tenném egyértelműbbé. Már a legelső képernyőn megjelenhetne egy egyszerű, de beszédes grafika vagy ikonrendszer — akár Canvában készített infografika —, nyilakkal és kulcsszavakkal, ami azonnal érzékelteti, miről van szó és kinek szól.</t>
  </si>
  <si>
    <t>Az Erasmus+ lehetőségekre kattintottam volna, vagy valamilyen utazással kapcsolatos elemre.</t>
  </si>
  <si>
    <t>Igen. Az oldal alján a „News &amp; Media” rész nem elég kontrasztos, kicsit összevisszának tűnik. Látom, hogy sok információ van — képek, alapítás ideje, adatok —, de nem egyértelmű, mi kattintható és mi csak illusztráció. Ez nem feltétlenül baj, csak nem jön le egyből.</t>
  </si>
  <si>
    <t>Nem tartom egyszerűnek, olyan 4-es. Valószínűleg közösségi médiában keresnék rá, Facebookon vagy Instagramon. A honlapon inkább néhány hosszabb mondat látszik, de nem elég egyértelmű.</t>
  </si>
  <si>
    <t>Az előbb említett „News &amp; Media” részen a kontrasztok miatt nehezen igazodom el, azon kívül minden elég egyértelműnek tűnik.</t>
  </si>
  <si>
    <t>A legfelső, nyitó blokkban egyértelműbben kifejezném, mi ez az oldal, miről szól, és ki veheti igénybe. Valamilyen ikon vagy figyelemfelkeltő ábra segítene.</t>
  </si>
  <si>
    <t>Először a tanácstalanság érzése, hogy miről szól, de a színek tetszenek, jó a kontraszt, az oldal otthonos, a színek jól össze vannak hangolva.</t>
  </si>
  <si>
    <t>A „Lehetőségek” blokk. Most épp Erasmus+ programok látszanak, de tetszik, ahogy ki vannak rakva: kategóriák (Erasmus+, önkéntes stb.), és alatta a megjelenítések — szívecske, megosztás, gyűjtés — mind nagyon szimpatikus.</t>
  </si>
  <si>
    <t>Különösebben nem.</t>
  </si>
  <si>
    <t>Olyan 7-es. Elég profi és jól néz ki. Ha nem keresném szándékosan a hibákat, egyértelműen profi oldal benyomását kelti.</t>
  </si>
  <si>
    <t>Olyan, mint egy kedves, középkorú tanárnő: barátságos, teázós, otthonos hangulatú — de nem túl izgalmas.</t>
  </si>
  <si>
    <t>Valószínűleg a képek között keresném, vagy a „Lehetőségek” között; nem vagyok benne teljesen biztos.</t>
  </si>
  <si>
    <t>A felső, végigfutó sávban — jobb felül, a tetején.</t>
  </si>
  <si>
    <t>A betűméret rendben van, a színek tetszenek. A kontraszt viszont több helyen nem elég erős: nem mindig érzem, melyik rész mihez tartozik. Jönnek egymás után a „Lehetőségek”, aztán képek, majd „Regisztrálj egy perc alatt” — a logikai kontraszt hiányzik. A regisztrációs blokk elhelyezése is furcsa: mintha középen lenne, pedig az alján szokott lenni. A többi rendben.</t>
  </si>
  <si>
    <t>Inkább túl kevés. Hiányzik egy hosszabb leírás arról, hogy mi ez pontosan, kik csinálják, miről szól. Több helyen van egy-egy megszólalás vagy idézet, de a tetején a két hosszabb szövegen túl nincs igazi bemutatkozás.</t>
  </si>
  <si>
    <t>Sokkal jobb a laptopos. Telefonon a kezdőképernyőn egy nagy kék felület fogad, és még annyira sem derül ki, miről szól, mint laptopon. Olyan, mintha telefonra készült volna a program, de mégis összevissza vannak az elemek, nehéz eligazodni. A tetején a nagy kék regisztrációs rész különösen domináns.</t>
  </si>
  <si>
    <t>Az egész struktúrán finomítanék. Az első két-három nagyobb szakasz („Lehetőségek”, „Életre szóló…”, „Misszióink”) rendben van, de utána az előadásos képek környékén olyan, mintha vége lenne, aztán lefelé gördítve új, összevissza információk jönnek. Nehéz tájékozódni.</t>
  </si>
  <si>
    <t>Eléggé hitelesnek tűnik, kifejezetten annak. Ha aktuálisan érintene, regisztrálnék.</t>
  </si>
  <si>
    <t>Igen, összességében igényes. Az előadásos képek is azt sugallják, hogy történik valami, működik a dolog.</t>
  </si>
  <si>
    <t>Egy részletes „Rólunk”/bemutatkozó leírás: kik dolgoznak rajta, milyen szervezet áll mögötte. Más oldalakon ez gyakran az alján megtalálható, itt nem láttam — lehet, hogy csak elkerülte a figyelmem, de nem találtam.</t>
  </si>
  <si>
    <t>Tízest. Teljesen megbízhatónak tűnik.</t>
  </si>
  <si>
    <t>Egyértelműen a „Lehetőségek”, ahol fel vannak sorolva az Erasmus+ programok. Ez volt a legérdekesebb is — kicsit olyan, mint amikor vásárlásnál nézed, mi szimpatikus.</t>
  </si>
  <si>
    <t>Alapvetően nem nagyon. Tetszik viszont, hogy látom: van alkalmazás. Ez növeli a bizalmat. A telefonos vizualizáció is jól néz ki. Nem igazán jön le, hogy regisztrálnom kellene. Inkább maradnék. Maximum telefonon éreztem, hogy talán afelé terel, de ott sem egyértelmű. Az applikációs oldal sem elég hangsúlyos: egy oldalon említi, hogy van app, és észrevettem, de nem hívja fel eléggé a figyelmet.</t>
  </si>
  <si>
    <t>Leginkább az zavaró, hogy rákattintva nem látom azonnal, miről szól. Elég sokat kell görgetni, mire összeáll. A workshopos képek utáni részek kifejezetten összezavartak: regisztrációs felhívás, aztán statisztikák az „alapításunk óta”, és nem világos, mit keressek. Most, hogy többet néztem, már értem, de elsőre nem. Átstrukturálnám: a „Lehetőségek” rész maradna, mert nagyon jó, az „alapításunk óta” blokk is értékes, de egy rendezettebb sorrendbe tenném. A Booking vagy az Airbnb felületéhez hasonló logika szerint — ott szállást keresek, itt pedig lehetőségeket, de a struktúra mintája működhetne.</t>
  </si>
  <si>
    <t>Nincs</t>
  </si>
  <si>
    <t>Leginkább az jött le, hogy mindenféle utazási és külföldi lehetőséget kínál. Ez ragadott meg elsőként a szövegekből, amiket a landing page-en olvastam.</t>
  </si>
  <si>
    <t xml:space="preserve">Nyolc. Szerintem mindenképpen lehet találni hasznos lehetőségeket. Az is igaz, hogy sok olyan lehetőség van, ami „csak” utazás, és nincs mögötte mély tanulási komponens, de az utazás önmagában is hasznos lehet. Engem most leginkább a pénzügyi támogatás és az olyan Erasmus+ programok érdekelnek, amelyekkel utazni lehet — ez fog meg a leginkább.
</t>
  </si>
  <si>
    <t>Utazási lehetőségeket.</t>
  </si>
  <si>
    <t>Három. Nem használom a Fórumot, így a saját életemben egyelőre nem láttam a hasznát.</t>
  </si>
  <si>
    <t>Szerintem nem. Jól össze van foglalva és egyértelmű, hogy miket lehet csinálni, ebben nem érzek hiányosságot.</t>
  </si>
  <si>
    <t>A „Lehetőségek” fülre kattintanék, és elkezdeném nézni, milyen országok és lehetőségek vannak. Nálam angolul jelent meg minden — gondolom ez az alapértelmezett eszköznyelvtől függ; az iPad-em angolra van állítva.</t>
  </si>
  <si>
    <t>Tíz. A „Lehetőségek” alatt szépen szét van szedve: Erasmus+, önkéntes program, verseny, konferencia/előadás. Negatívum, hogy az Erasmus+-on kívül most máshol nem láttam aktuális lehetőséget, de a struktúra ettől még nagyon egyértelmű.</t>
  </si>
  <si>
    <t>Szerintem nincs.</t>
  </si>
  <si>
    <t>Ahogy lefelé görgetek, a blokkok sorrendje kicsit zavaros. Például az „Hozz létre fiókot / Regisztrálj” rész szerintem inkább az oldal aljára illene. Most úgy alakul, hogy előbb regisztráció, aztán letöltésszámok és statisztikák, idézetek azoktól, akik letöltötték, majd megint egy regisztrációs rész — ez a sorrend nekem nem logikus.</t>
  </si>
  <si>
    <t>Tetszik. A betűstílus is bejön, és az is, hogy képek vannak beillesztve. A sötétlila színvilágot kevésbé szeretem; a világosabb lila és a rózsaszín közelebb áll hozzám, de összességében rendben van.</t>
  </si>
  <si>
    <t>Az első főcím és a mellette/alatta levő két út — regisztráció vagy „lehetőségek” — tetszik a legjobban: a betűstílus, az elhelyezés és ahogy bevezeti az oldalt.</t>
  </si>
  <si>
    <t>A képek alapvetően tetszenek, de kicsit olyan hangulatuk van, mint a hangoskönyvek borítóin a stock fotóknak. Lehet, hogy inkább rajzos/animált illusztrációkat használnék, nem „túl tökéletes” embereket.</t>
  </si>
  <si>
    <t>Kilenc. Látszik rajta a munka, professzionálisnak tűnik.</t>
  </si>
  <si>
    <t>Céltudatos, vidám, lelkes. A stílusa fiatalos, de nem kihívó; inkább klasszikusan, visszafogottan öltözködő. Női figurának képzelem el: törekvő, céltudatos nő.</t>
  </si>
  <si>
    <t>A „Lehetőségek” fül alatt. Ott információ önmagában nincs részletesen, csak a lehetőségek, de az aktuális listázás most nem látszott. A „See more” gombra kattintva először nem jelent meg semmi, másodszorra hozott fel egy régebbi (négy hónapos) lehetőséget — nem teljesen értem, miért így működik.</t>
  </si>
  <si>
    <t>Végignézném a teljes landing page-et, majd visszagörgetnék, és az első olyan ponton regisztrálnék, ahol együtt látom az App Store/Google Play letöltési lehetőséget és a QR-kódot — ez az első adódó hely „alulról felfelé” haladva.</t>
  </si>
  <si>
    <t>Nagyon jól olvasható, sehol nem túl kicsi a betű, a kontraszt rendben van.</t>
  </si>
  <si>
    <t>Nem igazán. Maximum ismétlésnek érzem, hogy a nyitó szöveg után az „Our mission” rész lényegében ugyanazt írja: „foreign opportunities, competitions, scholarships, conferences and workshops”. Olyan, mintha megismételné a nyitó állítást.</t>
  </si>
  <si>
    <t>iPad-en nagyobb az átláthatóság, de itt különösen zavar, hogy nem egyértelmű, hol van vége az oldalnak. Nagyon sokat kell görgetni: jönnek az Erasmus+ lehetőségek, aztán képek a valódi konferenciákról, ahol a Fórum alapítói részt vettek, utána fiók- és regisztrációs felhívás, majd statisztikák (hányan regisztráltak, mennyi lehetőség), idézetek a felhasználóktól, és megint regisztráció. A sorrend és a hossza egy kicsit fárasztó. Erre adok egy hatost. Összességében inkább iPad-en vagy laptopon használnám.</t>
  </si>
  <si>
    <t>Nem egyetlen, hosszan lefelé görgethető landing page-et készítenék, hanem több aloldalra bontanám a tartalmat. Nem ez lenne a teljes, lineárisan végiggörgetendő főoldal.</t>
  </si>
  <si>
    <t>Hitelesnek tűnik. Én ismerem a Fórumot, de a dizájn és a kivitelezés alapján akkor is professzionálisnak hat. Aki először találkozik vele, annak érdemes lehet máshonnan is rákeresni, de az oldal önmagában is megbízhatónak látszik.</t>
  </si>
  <si>
    <t>A hangvétel és a szövegek — főleg a bevezető —, az egész dizájn, és az, hogy vannak valódi képek a Fórum alapítóiról, arról, hogy workshopokon, képzéseken voltak. Ezek a képek azt mutatják, hogy valós tevékenység áll mögötte.</t>
  </si>
  <si>
    <t>Tíz — regisztrálnék, és nem félnék a biztonságtól.</t>
  </si>
  <si>
    <t>Rögtön az első blokk: „összekötjük a fiatalságot ezekkel a lehetőségekkel”. Már ebből az első szövegből nagyon egyértelmű, mit szeretne csinálni a Fórum. Megjegyzem: iPhone nézetben ez a kép (ahol az épületek alatt ülnek az emberek) nem látszik jól; elfordítva (fektetett nézetben) látszik valamennyire, de álló módban nem. iPad-en álló módban korábban a gombok tetejét is levágta — mintha telefonos nézetbe próbálta volna tenni, miközben nem működött rendesen.</t>
  </si>
  <si>
    <t>A „Lehetőségek” alatt, hogy kategóriákra van bontva, és rá lehet kattintani — ez mindenképpen segít.</t>
  </si>
  <si>
    <t>A landing page túl hosszú; úgy szerkeszteném át, hogy rövidebb legyen, és logikusabb sorrendben jöjjenek a blokkok.</t>
  </si>
  <si>
    <t>A „HOME” mellett a „For Organizations” felirat elsőre nem volt világos, mit jelent. Rákattintva már érthető, hogy szervezetek regisztrálhatnak — így végül egyértelmű.</t>
  </si>
  <si>
    <t>Mivel a tetején egy header-részt látunk, nekem az ugrott be, hogy ez valamilyen külföldi oktatást támogató felület lehet. A főcím vagy a kiemelt idézet („We connect youth to life-changing opportunities”) alapján nemzetközi programlehetőségeket feltételezek — ezt szűrtem le elsőre.</t>
  </si>
  <si>
    <t xml:space="preserve">Egy 7-est mondanék. Ez elég szubjektív, attól is függ, ki mennyire ambiciózus. Az Erasmus része számomra kérdéses: Magyarországon ez mennyire releváns most? Az oldalon nem látom egyértelműen leírva, hogy „Erasmus”, inkább „Erasmus+” szerepel — lehet, érdemes később tisztázni azt is, hogy olyan országokhoz is elér-e az oldal, ahol ezt a külföldi képzési lehetőséget már nem Erasmus+ként hívják. A többi fülbe (digithall? alapfül?) csak belenéztem, de a „versenyek” és a „konferenciák” általában népszerűek a fiatalok körében. Szerintem inkább a konferencia-rész az erős: ott információ- és tudásgyűjtés történik, nem feltétlen kell aktív „inputot” beadni.
</t>
  </si>
  <si>
    <t>Erről az előző kérdésnél már beszéltem röviden. Én 8–9-et adnék, inkább 9-et. Az „Opportunities” részt nézve szinte az összes fülhöz tudok relevánsan kapcsolódni. Olyan embernek tartom magam, aki szeret plusz tudásra szert tenni, és nyitott vagyok extra tanulási lehetőségekre — konferenciák, előadások, workshopok. Erasmus+-on nem volt még lehetőségem részt venni, de mesterszakon simán lehet, hogy külföldön végezném el, vagy egy külföldi, Erasmus-fél éves programban vennék részt.</t>
  </si>
  <si>
    <t>Észrevettem, hogy eddig mindenkinek magyarul jelent meg az oldal, és nálam most először angolul — és nem látok nyelvváltót. Igen, gondolom ez készülő beállítás lehet. Frontenden be lehet „égetni”, hogy régió alapján a megfelelő nyelven jelenjen meg alapértelmezetten az oldal. Ha kicsit „ügyvéd szemmel” nézem: a kezdő blokkban a „See opportunities” gombot kicsit középre húznám, mert általában az ember szeme középre fókuszál egy új oldal megnyitásakor.</t>
  </si>
  <si>
    <t>Egy részletesebb leírást, hogy pontosan micsoda ez. Nem feltétlen a regisztrációval kezdeném. A „See opportunities” a regisztrációs gomb mellett jó helyen van: az új látogató először valószínűleg arra kíváncsi, mivel foglalkozik az oldal/cég, és egy kicsit több információt szeretne, mielőtt dönt. A „Forum programok / cégeknek” alfület nem nagyon néztem meg. (Az nem is lényeges, most csak a landing page.) Igen, én is azt keresném, mint a legtöbb ember: mi ez pontosan.</t>
  </si>
  <si>
    <t>Nem. Nagyon letisztult az oldal.</t>
  </si>
  <si>
    <t>Egy 8-ast mondanék. A user journey elég rövid: 2–3 kattintással el lehet jutni a lényeghez. Azért 8, mert első ránézésre az értelmezésnél lehet egy kis megtorpanás — nem minden teljesen intuíció-vezérelt.</t>
  </si>
  <si>
    <t>Ismét a „See opportunities” központibb elhelyezését mondanám.</t>
  </si>
  <si>
    <t>Nagyon tiszta. Nincsenek élénk, rikító színek, mégis befogadható a szemnek. Nincs túltolva a kontraszt, az összhatás harmonikus.</t>
  </si>
  <si>
    <t>Ahol a lehetőségek vannak felsorolva: a csempék/widgetek nagyon szépen, átláthatóan vannak elrendezve. Könnyű kiszűrni, amire épp keres az ember.</t>
  </si>
  <si>
    <t>Szerintem nem.</t>
  </si>
  <si>
    <t>Most 8-ast mondanék első benyomásra. Összetétel szempontból a kohézió és a felépítés nagyon jó. Nekem a landing page kicsit hosszú; sok tartalom van egymás alatt. Első ránézésre nincs gond, de nagyon sokat kell görgetni, mire az oldal aljára jut az ember.</t>
  </si>
  <si>
    <t>Kifinomult, a színvilág alapján visszafogottabb.</t>
  </si>
  <si>
    <t>A landing page megnyitásakor a „See opportunities” gombra kattintva az oldal egy anchor segítségével automatikusan a „Lehetőségek” szakaszhoz navigál. Ott van egy kis header-rész, ahol a kategóriák közül lehet választani — itt szerepel a „Konferencia” és az „Előadás” is.</t>
  </si>
  <si>
    <t>A nagy gombra, ami a landing page mottója alatt van, a „Lehetőségek” gomb mellett. Ugyanakkor nem dobnám el a jobb felső sarokban lévő regisztrációt sem: ez a megszokott, „régi iskolás” minta, sok más helyen is így van.</t>
  </si>
  <si>
    <t>Alapvetően szöveges beállítottságú vagyok, de teljes mértékben olvasható. Jó, hogy nem folynak egybe a szövegek. Ami nagy segítség: ami fehér, az nem „vakító fehér”, inkább törtfehér — nem bántja a szemet nagy fényerőn sem.</t>
  </si>
  <si>
    <t>Tízes, szerintem a mobilverzió kicsit könnyebben átlátható és feldolgozható — a kisebb kijelző miatt jobban összpontosított a tartalom.</t>
  </si>
  <si>
    <t>Mondhatnám az éjszakai módot, de nem feltétlen szükséges, mert alapból sincs túl sok fehér felület; így sem bántja a szemet.</t>
  </si>
  <si>
    <t>Ha teljesen „magamtól” találtam volna meg az oldalt, lenne némi bizonytalanság. Hitelesség szempontjából jó lenne partneri együttműködéseket felsorolni — ez általában meggyőzi a felhasználót.</t>
  </si>
  <si>
    <t>Az egész oldal komplexitása. Látszik, hogy normálisan ki van gondolva, össze van rakva, nem kelt „átverés” érzetet.</t>
  </si>
  <si>
    <t>A partneri együttműködések listája, ezt említeném. Ezen túl az is bizalomerősítő, hogy az oldal felépítése átgondolt és egységes.</t>
  </si>
  <si>
    <t>7-es.</t>
  </si>
  <si>
    <t>Az a rész, ahol képekkel felsorolva látszanak az események/típusok.</t>
  </si>
  <si>
    <t>A „Lehetőségek” pont.</t>
  </si>
  <si>
    <t>A nyelvválasztó hiánya: nálam angolul jelent meg az oldal, jó lenne ezt állíthatóvá tenni.</t>
  </si>
  <si>
    <t>Számomra elsőre az Erasmus-programok tűntek ki: az oldal ezekre való jelentkezést segíti. Ugyanakkor látom, hogy nem csak Erasmushoz kapcsolódó programokat ajánlanak, így tágabb a kínálat.</t>
  </si>
  <si>
    <t>Ötös, nekem most nem túl aktuális, ezért ötöst adok. Úgy érzem, inkább Erasmus-fókuszú a felület, ami most kevésbé releváns számomra, de mivel más programok is vannak, ez valamennyit emel az értékén. Jobban érdekelne, ha valami plusz „benefitet” látnék: olyan extrát, ami miatt ezt a platformot választanám az iskola ajánlása helyett.</t>
  </si>
  <si>
    <t>Fejlődési és utazási lehetőségeket, valamint ezekhez támogatást — olyan szolgáltatást, ami elősegíti a részvételt.</t>
  </si>
  <si>
    <t>Ismét ötös. Az Erasmus most kevésbé aktuális, viszont a gyakorlati tudás, a workshopok és a startupképzés része hasznosnak tűnik.</t>
  </si>
  <si>
    <t>Több információt adnék az Erasmusról; emellett a startupképzésről is szívesen látnék rövid, lényegre törő ismertetőt.</t>
  </si>
  <si>
    <t>Elsőként a regisztrációt nyomnám meg, mert ez van kiemelve. Utána letekertem a Lehetőségekhez, és végigkattintgattam a kategóriákat, hogy mit ajánlanak.</t>
  </si>
  <si>
    <t>A Lehetőségek alatt a „Startup képzés / Gyakorlati tudás / Workshopok” blokk címkéi olyan benyomást keltenek, mintha kattinthatók lennének és további információra vinnének, de valójában nem linkek — ez félrevezető lehet.</t>
  </si>
  <si>
    <t>Nyolcas. A felépítés nem bonyolult, gyorsan megtalálhatóak a fő részek, bár összességében kevés a valódi link, ami mélyebbre vezet.</t>
  </si>
  <si>
    <t>A már említett, kattinthatónak tűnő kategória-címkék a Lehetőségek alatt. Ezen kívül különösebb gondot nem láttam.</t>
  </si>
  <si>
    <t>A topikok túl kicsi szeletekre vannak vágva, emiatt az oldal kissé „összecsúszik”. Lehetne több információ egy-egy blokkban; nem muszáj ennyire szűkszavúan hagyni mindent.</t>
  </si>
  <si>
    <t>Negatív érzést nem keltett, de a panelek nincsenek elég „kihúzva”, kicsit szétesős érzetet adnak. Első pillantásra nem feltétlen jut eszembe, hogy kifejezetten diákoknak szól — ez csak olvasás után válik világossá.</t>
  </si>
  <si>
    <t>A Lehetőségek csempés elrendezése, ami „bookingos” érzetet ad, és a kategória-szűrés — ezek jó megközelítések.</t>
  </si>
  <si>
    <t>A Lehetőségek alatti „Gyakorlati tudás” képeknél a középső kép kiugrik a két szélső közül; ez megbontja az összképet. Az is zavaró, hogy a kék színvilág a végén zöldes-sötétkék átmenetbe megy át, ami nem illeszkedik következetesen.</t>
  </si>
  <si>
    <t>Hat és fél körülire értékelném. Látszik a törekvés az egységre, de a blokkok magassága nem mindenhol egységes; ahol megbillen, ott nagyon érződik. A színváltás a végén sem harmonikus.</t>
  </si>
  <si>
    <t>Olyan, aki igyekszik egységet tartani az öltözékében, de néha nem passzolnak a színek. Okos, de nem bőbeszédű.</t>
  </si>
  <si>
    <t>A Lehetőségek között megtalálom a „Konferencia” kategóriát. Elsőre azt írja, hogy nincs találat, de ha a „Többet akarok látni” gombra kattintok, akkor megjelennek az aktuális konferenciák. Az elhelyezés jó (nem túl fent és nem túl lent), viszont az, hogy alapból „nincs találatot” mutat, és csak egy plusz kattintás után listáz, félrevezető: ha nincs semmi, miért kattintanék tovább?</t>
  </si>
  <si>
    <t>Vagy a jobb felső sarokban, vagy a legelső panelen. Ha nem mozdulok, a felső panel regisztrációra visz.</t>
  </si>
  <si>
    <t>A betűméret és a kontraszt rendben van, jól olvasható. A színeknél az előbb említett kék–zöldes átmenet zavaróbb.</t>
  </si>
  <si>
    <t>Nem igazán. Az Erasmusról lehetne egy kicsit többet írni, de önmagában a mennyiséggel nincs gond.</t>
  </si>
  <si>
    <t>Telefonon talán még egyszerűbb használni, mint gépen. Egy 8-ast adok: a kategóriaváltáshoz a Lehetőségeknél olykor sokat kell fel-le tekerni, de ez részben személyes preferencia. Nyelvi következetlenség viszont zavaró: magyar nézetben is van, ami angolul jelenik meg (pl. „load more”, hírek topikcímek). Jó lenne egységesen magyar vagy egységesen angol, illetve egy jól látható nyelvváltó.</t>
  </si>
  <si>
    <t>Nyelvi egységesség (magyar/angol teljeskörű váltással). Másodiknak a panelek információtartalmát növelném, illetve adnék lehetőséget animált, interaktív elemekre a profibb hatásért.</t>
  </si>
  <si>
    <t xml:space="preserve"> A képek sokat segítenek: látszanak a workshopok, és a konkrét számadatok (hány partner, hány regisztrált) szintén erősítik a bizalmat. A vélemények jelenléte is fontos.</t>
  </si>
  <si>
    <t xml:space="preserve">Regisztrálni biztonságosnak tűnik. Erasmus-jelentkezésnél nem biztos, hogy innen indulnék el csupán a landing page alapján, de egy előadásra simán. </t>
  </si>
  <si>
    <t>Partnerek feltüntetése kifejezetten hasznos lenne a landing page-en is. Emellett jó lenne minimum egy slide, ami közérthetően elmagyarázza, mi az Erasmus és a Fórumon keresztüli jelentkezés lépései.</t>
  </si>
  <si>
    <t>Nyolcas. A regisztrációs panel alapján nem látok olyan adatbekérést, ami kockázatos lenne.</t>
  </si>
  <si>
    <t>Az első két panel jól összefoglalja a célt és a segítségnyújtás módját.</t>
  </si>
  <si>
    <t>A Lehetőségek kategóriagombjai. Egyébként minden elég egyértelmű, nem „veszik el” az ember.</t>
  </si>
  <si>
    <t>Úgy érzem, az oldal inkább telefonra készült, ott szebb is. Színeken finomítanék, a panelek elosztását egységesíteném, több információt adnék helyben, és megoldanám a nyelvi következetességet (látható nyelvváltóval). Emellett némi finom animáció professzionálisabbá tenné az összhatást.</t>
  </si>
  <si>
    <t>Alapvetően tetszik, hogy rögtön le van írva, miről szól: életre szóló lehetőségeket találni. Ez elsőre még elég tág, de utána specifikál is. Szerintem hamar lejön, hogy miről van szó. A névből nem feltétlenül gondoltam volna, hogy Erasmus-lehetőségeket is kínál, de a tartalom alapján ez is egyértelmű. Kicsit lejjebb görgetve ott vannak a missziók és a lehetőségek is, ez tetszik.</t>
  </si>
  <si>
    <t>Szerintem 10. Rengeteg platform kínál sokféle lehetőséget, de olyat még nem nagyon láttam, ahol több különböző forrásból származó lehetőségek egyben, átláthatóan össze vannak gyűjtve. Ezeket önmagukban nehéz átlátni; itt ez jól segít. Ami kevésbé tetszik: amikor egy lehetőségre kattintottam, rögtön regisztrációt kért. Jobban szeretem, ha előbb látok valamivel több információt arról, pontosan mit kínál, és csak utána adjam meg az adataimat — akár egy rövid összefoglalóval az adott lehetőségről. Megértem, miért kér regisztrációt, de jó lenne valamivel több előzetes információ.</t>
  </si>
  <si>
    <t>A „lehetőség” jut eszembe, és az is, hogy felgyorsítja a lehetőségekhez való eljutást.</t>
  </si>
  <si>
    <t>Most egy kilencest mondanék. Pont mostanában gondolkodtam azon, hogy jó lenne kihasználni a rövidebb utazási lehetőségeket is, nem csak a féléves kintléteket. Sőt, még akár a tízest is megadnám, mert nekem most ez tényleg releváns.</t>
  </si>
  <si>
    <t>Alapvetően be kellene regisztrálnom, hogy mindent lássak, de értem, hogy most a benyomásokról beszélünk. Így is tetszik, hogy világosan külön vannak szedve a kategóriák (Erasmus+, önkéntes, verseny, konferencia). Ami még növelné a bizalmat: egy „vélemények/tapasztalatok” rész, ahol valódi történetek vannak — kiknek segített, hová jutottak el, hogyan. Ez plusz bizalmat adna.</t>
  </si>
  <si>
    <t>A „Lehetőségek” gombra kattintanék. Bár a regisztráció kiemelt, elsőre még nem tudom pontosan, miért kellene rögtön regisztrálnom. Inkább megnézném a lehetőségeket, és szerencsére oda jól is vezet az oldal.</t>
  </si>
  <si>
    <t>Nem igazán, szerintem logikusan követik egymást a szakaszok. Ez így jó.</t>
  </si>
  <si>
    <t>Tíz. Legörgetek a „Lehetőségekhez”, és ott van minden — első ránézésre is jól kibontva.</t>
  </si>
  <si>
    <t>A sávok elrendezése miatt egy ponton azt hittem, hogy az oldal vége jön — a „lezárós” hangulat miatt nem feltétlen görgettem volna tovább, ha nem látom a görgetősávot. Az alja tényleg olyan, mintha kész is lenne az oldal, pedig még vannak fontos információk. Olyan, mintha elég lenne oda csak egy rövidebb rész.</t>
  </si>
  <si>
    <t>Apróságnak tűnik, de megcserélném két szakasz kiemelését a végén, hogy ne tűnjön úgy, mintha ott vége lenne az oldalnak. Amúgy minden fontos információ jól látszik.</t>
  </si>
  <si>
    <t>A kék alapszín miatt először valami tudományos vagy iskolai jellegű dologra gondoltam. A stílusból látszik, hogy fiatalok készítették fiataloknak: közvetlen, egyszerű, nincs túlbonyolítva, nem kell órákig keresgélni. Olyasmi, ami segít, és gyorsan megmutatja a lényeget.</t>
  </si>
  <si>
    <t>A „Lehetőségek” rész: jó érzés „kattintgatni”, és hogy szűrhetők a lehetőségek.</t>
  </si>
  <si>
    <t>Kifejezetten zavaró nincs. Ha nagyon mondanom kell valamit: a lila egy picit idegennek hat, de nem probléma.</t>
  </si>
  <si>
    <t>Nyolc és fél. Az egyszerűsége miatt — ez nem feltétlen baj. A nagyon profi oldalaknál szokott lenni valami minimális animáció vagy átmenet, de itt az egyszerűség előny is.</t>
  </si>
  <si>
    <t>Egy segítőkész, barátságos osztálytárs jut eszembe, aki mindig ott van az órán, mindig jelez, és bármikor fordulhatsz hozzá segítségért. Egyszerű, aranyos, és mindent átad, amire szükséged van — egy „cuki barát”.</t>
  </si>
  <si>
    <t>A „Lehetőségek” között, a konferencia és előadás kategóriánál.</t>
  </si>
  <si>
    <t>Miután megnéztem a lehetőségeket, és látom, hogy érdekel valami, az adott lehetőség oldaláról regisztrálnék.</t>
  </si>
  <si>
    <t>Abszolút olvasható. Maximum az „Alapításunk óta” blokkban a számok alatti feliratok kicsit picik. Most megtaláltam, hogy vannak vélemények is, de ezen könnyen átsiklottam; első ránézésre nem egyértelmű, hogy ott vélemények következnek. Ha ráfókuszálok, persze vissza lehet találni.</t>
  </si>
  <si>
    <t>A bevezetőnél rögtön érthető, miről van szó, ez tiszta sor. A lehetőségeknél a részletekből szeretnék többet látni regisztráció előtt — ezt már mondtam.</t>
  </si>
  <si>
    <t>Gépről mindenképp kényelmes. Mobilon használható, de elsőre a regisztráció gombot összekevertem a sütikezelő (cookie-) értesítéssel, mert ugyanazon a részen van és hasonló kék. Automatikusan nyomtam volna rá. Működik, érthető, csak nagyon „befedi” az első képernyőt. Mobilra adok egy 9-est.</t>
  </si>
  <si>
    <t>Amikor rákattintok egy lehetőségre, először legyen egy rövid összefoglaló (teaser), és csak utána kérjen regisztrációt — így tudatosabban regisztrálnék.</t>
  </si>
  <si>
    <t>Őszintén: lenne bennem némi félelem. A vélemények most csak szövegek és nevek, és ha teljesen ismeretlen nekem a csapat, nem tudom, kik vannak mögötte, akkor nem feltétlen bíznék meg azonnal — főleg, ha rögtön regisztrációt kér, miközben kevés előzetes információt kapok. Vannak fenntartásaim.</t>
  </si>
  <si>
    <t>Tetszik, hogy szervezeteknek is lehet regisztrálni; ebből látszik, hogy nem csak „maguktól” szűrik a lehetőségeket, és valószínű hivatalos partnerek is vannak. A képsorok — például a „Start-up képzés kezdőknek” — szimpatikusak, és az is, hogy ugyanaz a személy tűnik fel több helyen, nem csak stock fotók. A vizuális tagolás is igényes.</t>
  </si>
  <si>
    <t>Igen: „Rólunk”, „Mondták rólunk”, felhasználói történetek. Nem kell sok: akár 2–3 rövid cikk valódi emberektől, hogy megtalálták az appot, hogyan segített, hova jutottak el (akár Kínába), mi történt velük — ez rengeteget adna. Néhány hiteles sztori is elég.</t>
  </si>
  <si>
    <t>Hatost mondanék. Bizalmatlan vagyok az első benyomás alapján, viszont csak e-mail-címet kér — az nem akkora kockázat. Kíváncsi is vagyok, ha beírom az e-mailemet, miben változik az élmény.</t>
  </si>
  <si>
    <t>A „Lehetőségek” gomb és maga a „Lehetőségek” rész. Az elején le van írva, miben segít az oldal, de itt rögtön látszik, mik vannak.</t>
  </si>
  <si>
    <t>A kis gombok az elején — főleg a „Lehetőségek” és a kezdő gombok.</t>
  </si>
  <si>
    <t>Ahogy említettem: személyesebbé tenném. Legyen látható, kik állnak mögötte, ki használja. Már az is sokat adna, ha az alapító elmesélné: ő is keresett ilyen helyeket, nehéz volt átlátni 200 aloldalt, és ezért hozta létre a platformot. Egy rövid bemutatkozás („Sziasztok, mi vagyunk a Fórum”) és egy arckép is közelebb hozná.</t>
  </si>
  <si>
    <t>Igen: itt van „Az én vállalkozói történetem” — egy videó. Akkor tulajdonképpen megvan az, amire gondoltam, csak eddig nem figyeltem fel rá. Lehet, hogy visszatérek rá később. Valószínűleg Facebookon is elérhető. Ez nagyon az oldal alján van, és elsőre furcsán hatott a „Fórum” rész — valahogy ignoráltam, mintha valami hiba lenne. De akkor mégis ott van: érdemes lenne feljebb hozni, és egy „Rólunk” blokkhoz kapcsolni.</t>
  </si>
  <si>
    <t>Úgy látom, hogy utazással kapcsolatos és szociális eseményekhez kötődő lehetőségeket gyűjt: társasági programokat, Erasmus-jellegű opciókat. Elsőre nagyon tetszik a megjelenés: a színválasztás, a fejléckép, az összhatás. Szép, letisztult, jók a képek is.</t>
  </si>
  <si>
    <t>Ötös, én nem vagyok kifejezetten „utazgatós” típus, ezért nekem talán kevésbé ad sokat. Viszont sok olyan ismerősöm van, aki szeret utazni, és nekik ez szerintem nagyon jó: itt össze vannak gyűjtve a lehetőségek, miközben máshol sokszor nehezen elérhetők. Így egy helyen, egy fórumon elérhetők — ez tök jó, és hasznos a többieknek.</t>
  </si>
  <si>
    <t>Lehetőséget a külföldre utazásra.</t>
  </si>
  <si>
    <t>Ötöst mondanék.</t>
  </si>
  <si>
    <t>Felül a menüsorban csak a „Kezdőlap”, a „Szervezeteknek”, a „Bejelentkezés” és a „Regisztráció” van. Ha lejjebb görgetek, ott megjelenik a „Missziónk” és a „Lehetőségek”. Szerintem ezeket érdemes lenne felülre, a menüsorba is kirakni — úgy átláthatóbb lenne. Dizájnban amúgy tetszik.</t>
  </si>
  <si>
    <t>Rögtön legörgettem. Belépéskor a regisztráció van kiemelve, de én először inkább tájékozódnék, hogy mi ez az oldal, mielőtt regisztrálok. A kiemelésből egyértelmű, hogy a regisztráció a fő hívás, de én előbb olvasnék róla.</t>
  </si>
  <si>
    <t>Nem, nem volt.</t>
  </si>
  <si>
    <t>Kilencest adok — szerintem viszonylag könnyen megtalálhatóak a lehetőségek.</t>
  </si>
  <si>
    <t>A „Kezdőlap” felirat. Az igazából a lehetőségekhez visz, és elsőre kicsit meglepett. Dizájnban is olyan, mintha egy új oldalra vinné.</t>
  </si>
  <si>
    <t>A menüsorba tennék több menüpontot: például a „Lehetőségek”-et is, legördülővel. Így nem kellene rögtön görgetni; már felül látnám, milyen lehetőségek és tartalmi blokkok vannak.</t>
  </si>
  <si>
    <t>Tetszik, hogy letisztult és modern. Amitől még jobb lehetne: némi interaktivitás, animációk — most többnyire csak képek vannak. De így is rendben van.</t>
  </si>
  <si>
    <t>A színek — jól néznek ki összhatásban.</t>
  </si>
  <si>
    <t>Az „Alapításunk óta” blokk rózsaszín téglalapja nekem kicsit furcsa.</t>
  </si>
  <si>
    <t>Hatost mondanék. A menüsor és az animációk hiánya miatt kevésbé tűnik „nagyvállalati” szintűnek; az animált, finom átmenetek azt sugallják, hogy profi fejlesztői csapat áll mögötte. Emiatt alacsonyabb a pont.</t>
  </si>
  <si>
    <t>Egyszerű, hétköznapi, amivel a legtöbb ember tud azonosulni — átlagosnak mondanám. Személyiségében vidám; a színek is ezt sugallják. A képek alapján sok időt töltene emberekkel, fontosak számára a társasági események.</t>
  </si>
  <si>
    <t>A „Lehetőségek” menüpont alatt.</t>
  </si>
  <si>
    <t>Itt, a kiemelt regisztrációs gombnál.</t>
  </si>
  <si>
    <t>Szerintem tökéletesen olvasható minden. A rózsaszín hátterű blokk vizuálisan volt furcsa — de olvashatóság szempontból rendben van.</t>
  </si>
  <si>
    <t>Az elején a „Missziónk” részt bővebbre venném, vagy a regisztrációs blokk környékére írnék több magyarázó szöveget. A „zanzásított” leírás jó, de ha jobban érdekelne az utazás, szívesen olvasnék többet arról, pontosan mik lehetnek a programok.</t>
  </si>
  <si>
    <t>Nyolcas, én jobban szeretem a laptopos megjelenítést. Ugyanakkor telefonon a görgetős szerkezet kifejezetten jól működik; ott nem zavaró, hogy kevés a menüpont — mobilon könnyebb csak görgetni.</t>
  </si>
  <si>
    <t>Egy keresőmező: be lehetne írni például, hogy „misszió”, és azonnal feldobná a megfelelő részt. Nem csak a lehetőségekre szűrnék; általános oldalszintű keresőre gondolok.</t>
  </si>
  <si>
    <t>Nem érzem bizonytalannak vagy „nem biztonságosnak”, de a nagyobb szervezetek oldalain több információ szokott szerepelni: partnerek, kapcsolat, székhely (headquarters), további vállalati adatok. Itt kicsit kevésnek tűnik az, ami alapján rögtön regisztrálnék és letöltenék. Felvenném a partnereket az oldal aljára (landing page footerébe), vagy külön menüpontba tenném őket. Jó hitelességi megoldás az is, ha partnercégek ajánlása jelenik meg (idézettel, logóval) — nem csak általános „nagyon jó app” típusú vélemények, hanem konkrét, vállalati ajánlások.</t>
  </si>
  <si>
    <t>Az, hogy vannak képek workshopokról: látszik, hogy ez nem „átverés”, hanem valódi tevékenység.</t>
  </si>
  <si>
    <t>Nem, más nem.</t>
  </si>
  <si>
    <t>Ötöst adnék. A partneres rész és az elérhető információk mennyisége miatt bizonytalanabb vagyok.</t>
  </si>
  <si>
    <t>Rögtön a nyitókép és a felirat: „életre szóló lehetőségeket találsz” — jól összefoglalja.</t>
  </si>
  <si>
    <t>A „Lehetőségek” rész — jó, hogy külön van bontva Erasmus, verseny, előadás, és nem minden egy kupacban.</t>
  </si>
  <si>
    <t>A menüsoros megoldás: több felső menüpontot tennék (például „Lehetőségek” legördülővel), és bekerülhetne a keresőmező.</t>
  </si>
  <si>
    <t>Látom, van „Az én vállalkozói történetem” blokk — ezt jó, hogy feltettétek. Furcsa, hogy mellette a „Fórum” rész lila keretben van; ide lehetne egy fotó (például Petyáról), ami jobban felkelti a figyelmemet, hogy megnyissam. Jó, hogy alul ott vannak a Facebook, Instagram, LinkedIn elérhetőségek — ezeket akár feljebb is lehetne hozni; nem tudom, mostanában mi a szokás, de jó, mert onnan is szerezhetek több információt és jobban belelátok az egészbe. Ez egy jó komoly plusz.</t>
  </si>
  <si>
    <t>Átlag</t>
  </si>
  <si>
    <t>Nekem az első benyomásom az volt, hogy mindenképpen valamilyen lehetőségeket összegyűjtő oldalt látok. Olyan segítő programokra gondoltam, amelyekben könnyen eligazodhatok, ha valamit keresnék magamnak.</t>
  </si>
  <si>
    <t>Szerintem 10. Biztos vagyok benne, hogy a korosztályomat az Erasmus program érdekelné, engem személy szerint az önkéntes programok is. De úgy gondolom, hogy a versenyek is nagyon aktuálisak.</t>
  </si>
  <si>
    <t>Szerintem mindenképpen újító — ilyen módon összegyűjtött lehetőségeket még sosem láttam.</t>
  </si>
  <si>
    <t>Egy 8-ast mondanék. Most ebben a félévemben nem gondolkodom Erasmusban, de az önkéntes programok, konferenciák és előadások fontosak lehetnek.</t>
  </si>
  <si>
    <t>Szerintem nincs ilyen.</t>
  </si>
  <si>
    <t>Nem volt ilyen. Semmi nem volt bizonytalan vagy zavaró.</t>
  </si>
  <si>
    <t>Önkéntes programra</t>
  </si>
  <si>
    <t>10-es. Nem találtam olyat, amit ne tudnék megtalálni.</t>
  </si>
  <si>
    <t>Nincs.</t>
  </si>
  <si>
    <t>Nincs ilyen, szerintem teljesen rendben van.</t>
  </si>
  <si>
    <t>Nagyon friss, nagyon a korosztályomnak szóló. Átlátható és modern.</t>
  </si>
  <si>
    <t>A „Missziónk” kártya. Ott leragadtam, elolvastam, és nagyon látványosnak éreztem.</t>
  </si>
  <si>
    <t>Nem találtam ilyet.</t>
  </si>
  <si>
    <t>10-es.</t>
  </si>
  <si>
    <t>Szerintem egy mesterképzéses egyetemista lenne, aki már sok lehetőséget kipróbált. Bölcs karakter, bármiről tud beszélni, a stílusa pedig lazán elegáns.</t>
  </si>
  <si>
    <t>A lehetőségek panelnél.</t>
  </si>
  <si>
    <t>Felül, a jobb oldali regisztráció gombnál.</t>
  </si>
  <si>
    <t>Abszolút. Lényegre törő, könnyen értelmezhető szövegek vannak.</t>
  </si>
  <si>
    <t>Nincs ilyen.</t>
  </si>
  <si>
    <t>10-es. Ugyanolyan átlátható, mint laptopon.</t>
  </si>
  <si>
    <t>Talán egy nyelvválaszót egyértelműbbé tenném de igazából nincs szükség rá feltétlenül. Nincs olyan dolog, amit hiányolnék.</t>
  </si>
  <si>
    <t>Szerintem teljesen hiteles, nem is lehetne hitelesebb.</t>
  </si>
  <si>
    <t>Nagyon átgondolt, jól megszerkesztett oldal. A fiatalokról készült képek különösen meggyőzőek.</t>
  </si>
  <si>
    <t>Egy „Kik vagyunk?” rész jó lenne — hogy kik fejlesztették, miért hozták létre.</t>
  </si>
  <si>
    <t>A lehetőségek.</t>
  </si>
  <si>
    <t>Szintén a lehetőségek rész.</t>
  </si>
  <si>
    <t>A két oldalt összehasonlítva melyik tetszik jobban, és miért?</t>
  </si>
  <si>
    <t>A régiben tetszett, hogy sokáig lehetett görgetni, abban volt valami meggyőző. De összességében számomra sokkal fontosabbak a színek — ebben pedig az új verzió sokkal jobb. Tetszik, hogy szabadabb, kevésbé dobozos, modernebb.</t>
  </si>
  <si>
    <t>Hát, fiataloknak szóló lehetőségeket mutat, mindenféle különböző programokat.</t>
  </si>
  <si>
    <t>Legyen mondjuk 8. Igazából tetszenek ezek az opciók, amik vannak.</t>
  </si>
  <si>
    <t>Külföldi lehetőségeket, amelyek ingyenesek, és amelyekkel előre tudok lépni.</t>
  </si>
  <si>
    <t>Először mondok egy számot: 6 vagy 7. Nem rossz, de most már nekem mások az igényeim.</t>
  </si>
  <si>
    <t>Szerintem most egész jó lett ez az oldal.</t>
  </si>
  <si>
    <t>Az első dolog az Erasmus+ gomb volt, illetve a lehetőségekben a navigáció.</t>
  </si>
  <si>
    <t>Nem, nem találtam.</t>
  </si>
  <si>
    <t>Tízes. Teljesen megtalálok mindent, ha keresni szeretnék.</t>
  </si>
  <si>
    <t>Nincs semmi. Jól navigálható.</t>
  </si>
  <si>
    <t>Letisztult, színes, informatív.</t>
  </si>
  <si>
    <t>Legjobban nekem ez a „roadmap”-szerű rész tetszik, mert elmondja, mire jó ez az egész.</t>
  </si>
  <si>
    <t>Maximum annyi, hogy egy kicsit nagy a kép, ahol a fiatalok vannak, de amúgy szerintem az is illik oda.</t>
  </si>
  <si>
    <t>Szerintem 9.</t>
  </si>
  <si>
    <t>Egy fiatal, hipster jellegű ember.</t>
  </si>
  <si>
    <t>A lehetőségek pont alatt, ott van két külön fül.</t>
  </si>
  <si>
    <t>A felül található „Kattintva” gombra.</t>
  </si>
  <si>
    <t>Teljesen könnyen olvasható, teljesen jó.</t>
  </si>
  <si>
    <t>Nem, nem volt ilyen.</t>
  </si>
  <si>
    <t>Kényelmesen használható. Egytől tízes skálán: tíz.</t>
  </si>
  <si>
    <t>Szerintem nincs ilyen, jó ez a weboldal így.</t>
  </si>
  <si>
    <t>Egészen hiteles. Ott vannak a tájékoztatók, minden ki van emelve.</t>
  </si>
  <si>
    <t>A felhasználási feltételek és az adatvédelmi tájékoztató rögtön ott van, könnyen elérhető, letisztult, világos.</t>
  </si>
  <si>
    <t>Nincs. Maximum annyi, hogy kik csinálják ezt az egészet — az még lehetne benne.</t>
  </si>
  <si>
    <t>Nyolcas. Mert nem tudom, kik alapították, de amúgy nem rossz.</t>
  </si>
  <si>
    <t>A „missziónk” banner.</t>
  </si>
  <si>
    <t>Az interaktív, lenyíló lehetőségek rész, ezek a „rólam” jellegű útmutatók, például hogyan lehet jelentkezni.</t>
  </si>
  <si>
    <t>Nem zavar semmi.</t>
  </si>
  <si>
    <t>Egyértelműen a mostanit. Nagyon jó.</t>
  </si>
  <si>
    <t>Akkor… ahogy így legörgettem, nekem az jött le, hogy lehetőségek. Bármilyen fajta lehetőség. Ez az, ami leginkább lejön belőle.</t>
  </si>
  <si>
    <t>Szerintem 10-es, mert mindenképpen hasznosak. Főleg azok, amik engem személy szerint érdekelnek: inkább a külföldi lehetőségek, például külföldön tanulás, Erasmus, ilyesmi. Ezek nagyon jó lehetőségek.</t>
  </si>
  <si>
    <t>Hát… esélyt arra, hogy átlássák a lehetőségeiket, és könnyebben tudjanak tájékozódni.</t>
  </si>
  <si>
    <t>Mivel én is diák vagyok, nekem mindenképp 10-es. Úgy tudom — lehet, hogy nem jól — de inkább diákoknak vannak a lehetőségek. Biztos van pár, ami nem, de így is egy diáknak ez nagyon nagy előnyt jelent.</t>
  </si>
  <si>
    <t>Igazából az, hogy be lehet-e jelentkezni. A regisztrációs rész.</t>
  </si>
  <si>
    <t>Nem, igazából nincs olyan, ami nem lenne egyértelmű.</t>
  </si>
  <si>
    <t>Nagyon. Konkrétan minden kint van: ahogy egy kicsit legörgetek, ott van az Erasmus, versenyek, konferenciák… Szerintem ha valaki keres valamit, biztosan meg fogja találni. 10-es</t>
  </si>
  <si>
    <t>Szerintem semmi. Csak ez az ugrálás volt zavaró, de mondtad, hogy ez a prototípus hibája, úgyhogy ez igazából nem számít, mert nyilván a valóságban nem így lenne.</t>
  </si>
  <si>
    <t>Fiatalos. Fiataloknak szól, és a fiatalokat próbálja megfogni.</t>
  </si>
  <si>
    <t>Az, hogy a lehetőségek között lehet nézelődni. Rögtön fel van ajánlva sok minden, és már ott lehet válogatni.</t>
  </si>
  <si>
    <t>10-es. Letisztult.</t>
  </si>
  <si>
    <t>Valaki, aki bevállalós, tudja, hogy mit akar, eltökélt, céltudatos és magabiztos.</t>
  </si>
  <si>
    <t>A lehetőségeknél: konferencia, előadás.</t>
  </si>
  <si>
    <t>Hát… először végignézném az oldalt, hogy miről van szó. Ha úgy érzem, hogy be akarok regisztrálni, akkor vagy az oldal alján tenném meg, vagy visszamennék a tetejére. De valószínűleg ha már a végén vagyok, akkor ott.</t>
  </si>
  <si>
    <t>Teljesen. Szerintem jó a betűméret, bár a lehetőségeknél a kártyákon lévő szöveg egy picit lehetne nagyobb. Ott a kontraszt néha kevésbé jó, mert a képre van téve a szöveg, és ha a kép hasonló színű, akkor nehezebb olvasni — de nem vészes.</t>
  </si>
  <si>
    <t>Teljes mértékben. Mondanék rá 10-et. Nyilván minden applikációt kicsit nehezebb használni telefonról, mint gépről, de szerintem teljesen jól működik így is. Annyi, hogy a betűméretek valakinek kisebbnek tűnhetnek, de szerintem olvasható.</t>
  </si>
  <si>
    <t>Ha azt nézem, hogy tényleg mindenkinek elérhető legyen, akkor talán a mobilos verzión a lehetőségek kártyái… mert négy kártya egymás mellett telefonon kicsit sok, és elég kicsik. Ha valakinek nem jó a szeme, az nehezebben olvassa — bár nagymama valószínűleg úgysem nézegeti a Fórumot.</t>
  </si>
  <si>
    <t>Teljes mértékben. Tízes.</t>
  </si>
  <si>
    <t>A blogok, az Erasmus élménybeszámolók. Hogy valós emberek tapasztalatai vannak kint.</t>
  </si>
  <si>
    <t>Szerintem nincs. Már most is megbíznék benne.</t>
  </si>
  <si>
    <t>Teljes mértékben, tízes. Nem kérnek pénzt érte, semmi gyanús nincs.</t>
  </si>
  <si>
    <t>A „Missziónk” rész. Ott konkrétan le van írva, mi a cél. Ha még soha nem hallottam volna róla, ebből érteném meg.</t>
  </si>
  <si>
    <t>A lehetőségeknél a felsorolás. Nagyon egyértelmű, hogy Erasmus, önkéntes program, verseny — és ott lehet keresni.</t>
  </si>
  <si>
    <t>Nem tudom. Nekem nem hiányzott semmi.</t>
  </si>
  <si>
    <t>Ez az új sokkal egyértelműbb és letisztultabb. A réginél sokszor azt hittem, már az oldal alján vagyok, aztán még volt valami alatta, és ez zavart. Itt sokkal egyértelműbb, hogy hol van vége az oldalnak. Szóval sokkal letisztultabb és használhatóbb.</t>
  </si>
  <si>
    <t>Szerintem egy 8-as. Úgy gondolom, hogy ez főleg kezdő egyetemistáknak jelent nagy segítséget, mert 16 évesen még nehezebb külföldre utazni, több a macera. De nagyon tetszenek a versenyek, és az önkéntes programok is — például az érettségi előtti 50 órához is lehet itt megfelelő lehetőségeket találni.</t>
  </si>
  <si>
    <t>Sok lehetőséget arra, hogy attól függően, mennyit tesznek bele ezekbe a programokba, és mennyi időt szánnak rá, annál többet tudjanak kivenni belőlük, ami számukra hasznos. Tehát egy olyan platformot, ahol minden egy helyen össze van gyűjtve.</t>
  </si>
  <si>
    <t>Azt mondanám, hogy egy 6-os. Még nem tudok Erasmusra menni, és a programok közül több inkább idősebbeknek szól. De nagyon érdekes, és előre segít átlátni, milyen lehetőségeim lesznek a jövőben. Például így könnyebb elgondolkodni azon, hogy szeretnék-e majd Erasmusra menni, mert össze van gyűjtve, mennyi opció létezik.</t>
  </si>
  <si>
    <t>Nem mondanám. Szerintem nagyon jól össze van szedve.</t>
  </si>
  <si>
    <t>Biztos voltam benne, hogy valamilyen fiataloknak szóló lehetőség, mert a képek ezt sugallják. Amikor elkezdtem olvasni, akkor láttam, hogy nagyon jó lehetőségek vannak mindenféle területen: Erasmus, önkéntes programok, előadások — olyan programok, amelyekből az ember minden szinten profitálni tud, érzelmileg és tudás szempontjából is.</t>
  </si>
  <si>
    <t>Rögtön az elején volt egy kép egy Erasmusos programról, egy velencei csatornáról. Ez nagyon megtetszett — jól néz ki, azonnal meghozza az ember kedvét. A sok mosolygó fiatal, akik jól érzik magukat együtt, nagyon barátságos érzetet ad.</t>
  </si>
  <si>
    <t>Tízes. Nagyon szépen ki van írva egy sávban: Erasmus+, önkéntes program, verseny, konferencia, előadás, mentoráció. Minden átlátható.</t>
  </si>
  <si>
    <t>Talán semmit. Nem jut eszembe ilyen.</t>
  </si>
  <si>
    <t>Nagyon letisztult. Tetszik, hogy mindent könnyen meg lehet találni. Nem kell keresgélni vagy azon gondolkodni, hogyan működik az oldal. A képek is nagyon barátságosak, mert el tudja képzelni az ember, hogy ha ő is részt vesz ezeken a programokon, akkor jó barátokat szerezhet.</t>
  </si>
  <si>
    <t>A programok fedőképei. Nagyon jól vannak választva: szépek, színesek, igényesek.</t>
  </si>
  <si>
    <t>Tíz. Nagyon letisztult és szép.</t>
  </si>
  <si>
    <t>Összeszedett, röviden és lényegre törően kommunikáló, befogadó, segítőkész.</t>
  </si>
  <si>
    <t>A lehetőségek menüpont alatt, az ikonok között, a lista végén.</t>
  </si>
  <si>
    <t>Én a fent kiírt bejelentkezés/regisztráció résznél. De jó, hogy lent is van lehetőség — így biztos, hogy mindenki megtalálja.</t>
  </si>
  <si>
    <t>Száz százalékban jól olvasható.</t>
  </si>
  <si>
    <t>Nem. Jó az arány: nem túl hosszú, de nem is túl rövid.</t>
  </si>
  <si>
    <t>Tízes.</t>
  </si>
  <si>
    <t>Tízes. Talán annyi, hogy a közösségi médiához hasonlóan lehetne egy alsó sáv, ahol könnyebb lenne kattintgatni — de ettől függetlenül kényelmes.</t>
  </si>
  <si>
    <t>A telefonos verzión egy alsó sáv, mint például az Instagramon, ahol könnyen lehet mozogni a menüpontok vagy kategóriák között.</t>
  </si>
  <si>
    <t>Száz százalékban hitelesnek.</t>
  </si>
  <si>
    <t>Szerintem az egész. Nagyon bizalomgerjesztő a megjelenés.</t>
  </si>
  <si>
    <t>A legfelső szövegrész, ami rögtön elmondja, miről szól az egész.</t>
  </si>
  <si>
    <t>Nem volt külön kiemelkedő — pont az a jó, hogy minden nagyon átlátható és letisztult.</t>
  </si>
  <si>
    <t>Ez az új sokkal jobban tetszik. A grafika, az oldalfelépítés rövidebb, átláthatóbb, lényegre törőbb. Nagyon tetszik, hogy több blogbejegyzés van, mert ez segít jobban elképzelni, milyen élmény egy program, mielőtt az ember először elmegy. Ez szerintem nagyon jó.</t>
  </si>
  <si>
    <t>Hát, alapvetően, ahogy itt le van írva, lehetőségeket kínál — ez ragadt meg bennem rögtön. Itt lehetőségekről van szó.</t>
  </si>
  <si>
    <t>Szerintem egy olyan 9-es körülbelül. Engem például érdekelne kifejezetten az Erasmus+, vagy valamilyen önkéntes program. Tök jó, hogy ezeket így össze van foglalva a Fórum által.</t>
  </si>
  <si>
    <t>Szerintem a fiataloknak egy könnyen elérhető és összegyűjtött lehetőségtárat.</t>
  </si>
  <si>
    <t>Olyan 8-as lenne szerintem.</t>
  </si>
  <si>
    <t>Nincs. Nem hiányoltam semmit.</t>
  </si>
  <si>
    <t>Először talán az alkalmazásra kattintottam volna rá — hogy le tudjam tölteni az appot. Aztán lentebb görgettem volna, és a lehetőségek részét kezdtem volna el nézegetni.</t>
  </si>
  <si>
    <t>Nem találtam.</t>
  </si>
  <si>
    <t>10-es. Teljesen egyszerű. Minden össze van foglalva.</t>
  </si>
  <si>
    <t>Nincs szerintem.</t>
  </si>
  <si>
    <t>Igazából nem változtatnék semmit. Szerintem teljesen jó.</t>
  </si>
  <si>
    <t>Az előzőhöz képest sokkal kifinomultabb, jobban összefoglalja a lényeget. Tök jók ezek a képek is — Erasmus+, mentoráció — jól látni, hogy miről szól.</t>
  </si>
  <si>
    <t>Két dolog is. Az egyik a lehetőségek rendszere — tök jól össze vannak foglalva, oda van írva, hogy Erasmus+, verseny, előadás… nagyon tetszik. A másik pedig ez a rész, ahol azt írod, hogy „Könnyebb rátalálni a legjobb lehetőségekre, mint hinnéd.” Ahogy mondtad, hogy itt lenne animáció — ez is tök jó, és nagyon egyszerűen leírja a lényeget</t>
  </si>
  <si>
    <t>Szerintem kifejezetten 10-es.</t>
  </si>
  <si>
    <t>Szerintem fiatalos lenne — egy fiatal, aki hátizsákkal a hátán boldogan megy jobbra-balra, és éli a legjobb életet, amit csak lehet.</t>
  </si>
  <si>
    <t>Igen — a lehetőségek résznél rányomtam a konferenciák kategóriára.</t>
  </si>
  <si>
    <t>Amikor rányomok egy lehetőségre, és felugrik ez az ablak — szerintem ez nagyon jó. Pont az a pillanat, amikor azt érzem: oké, regisztrálni akarok, mert érdekel, mi ez. Itt regisztrálnék be.</t>
  </si>
  <si>
    <t>Teljesen.</t>
  </si>
  <si>
    <t>Nem. Maximum annyi, hogy magáról a Fórumról nincs külön „Rólunk” rész. Én azt mindig keresni szoktam a legalján — hogy kik ők — de itt azt annyira nem látom.</t>
  </si>
  <si>
    <t>Fú, teljesen más — sokkal jobb az új. Mintha két teljesen külön dolog lenne. 10-es</t>
  </si>
  <si>
    <t>Semmit nem változtatnék ezen.</t>
  </si>
  <si>
    <t>Teljesen. 100%.</t>
  </si>
  <si>
    <t>Ami nagyon tetszik, hogy rögtön ki van emelve, hogy van alkalmazás. Nekem az, hogy van app, az nagyon erősíti a bizalmat.</t>
  </si>
  <si>
    <t>Szerintem már rögtön a legelső rész. Megnyitom, és azonnal elmondja, miről szól.</t>
  </si>
  <si>
    <t>Igazából minden egyszerű. Nem tudok egy dolgot kiemelni.</t>
  </si>
  <si>
    <t>Semmi zavaró nincs. Maximum az, hogy a Fórumról külön nem olvastam — hogy kik ők. De látom, hogy legalul van ez a „Kövess minket” rész, és ha rámegyek, ott úgyis találok infókat, szóval igazából nem fontos.</t>
  </si>
  <si>
    <t>A régi sem volt rossz, de sokkal összevisszább. Kevésbé lehetett kiigazodni rajta. Ez az új viszont olyan, mintha profi módon lenne elkészítve. Teljes mértékben.</t>
  </si>
  <si>
    <t>Amikor először megláttam, inkább ilyen külföldi lehetőségeket láttam, és azt, hogy könnyebben meg lehet találni mindenféle lehetőséget, mint például az Erasmus+, vagy különböző versenyek.</t>
  </si>
  <si>
    <t>Engem például az Erasmus+ érdekel, mert máshonnan szerintem elég bonyolultan lehet elérni az erről szóló információkat. Illetve a konferenciák, versenyek és egyéb programok is olyan dolgok, amikről én például soha nem szoktam hallani. Szóval azoknak a fiataloknak, akik nincsenek olyan közösségekben, ahol ilyen infókat hallanának, szerintem nagyon jó ez az applikáció. A pontszámom: 9.</t>
  </si>
  <si>
    <t>Lehetőségeket.</t>
  </si>
  <si>
    <t>7. Igazából nagyon hasznosnak tartom a fórumot, viszont a saját életemre nézve azért nem annyira releváns, mert én viszonylag ritkán utazok, egyedül pedig még sosem utaztam. Viszont ez a fórum most például meghozta a kedvem.</t>
  </si>
  <si>
    <t>Nem, szerintem minden ott van.</t>
  </si>
  <si>
    <t>A lehetőségek résznél az Erasmus+ programokat.</t>
  </si>
  <si>
    <t>10.</t>
  </si>
  <si>
    <t>Nincsen.</t>
  </si>
  <si>
    <t>Szerintem nem változtatnék.</t>
  </si>
  <si>
    <t>Szerintem jó az összhang, nekem tetszett, hogy vidám hangulata van.</t>
  </si>
  <si>
    <t>Nekem az a rész tetszett, ahol az „alapításunk óta” szerepel, és számokban vannak kiírva dolgok. Ez szerintem nagyon felkelti az emberek figyelmét, és jól kihangsúlyozza, hogy mennyire népszerű az applikáció.</t>
  </si>
  <si>
    <t>Telefonos nézetben a négy ember mögött egy négyzetrácsos füzetminta van, az nekem egy picit zavaró. Ugyanezen a képen a desktop verzióban egy villás háttér van, az nekem jobban tetszik.</t>
  </si>
  <si>
    <t>Vidám, összeszedett és kalandvágyó.</t>
  </si>
  <si>
    <t>A lehetőségek fül alatt a „Konferenciák” részre kattintva — ott azonnal feldobja a különböző konferenciákat.</t>
  </si>
  <si>
    <t>Fent rögtön látom a „Regisztráció” gombot, amikor megnyitom az oldalt, úgyhogy azt nyomnám meg.</t>
  </si>
  <si>
    <t>Nagyon — 10.</t>
  </si>
  <si>
    <t>Nem volt ilyen.</t>
  </si>
  <si>
    <t>8.</t>
  </si>
  <si>
    <t>Hitelesnek tűnik — mondjuk 10.</t>
  </si>
  <si>
    <t>Nagyon tetszenek a blogok és visszajelzések olyan emberektől, akik már voltak Erasmus+-on.</t>
  </si>
  <si>
    <t>Talán örülnék valamilyen információnak az alapítókról.</t>
  </si>
  <si>
    <t>Már az elején az, hogy rögtön azt látom: Erasmus+, mentoráció, versenyek, konferenciák. Ez nagyon egyértelmű.</t>
  </si>
  <si>
    <t>Szerintem jól fel van bontva az oldal, és mindig nagy betűs cím írja, mi következik, ahogy lefelé görgetünk.</t>
  </si>
  <si>
    <t>Az alapítókról szóló információ. El tudnék képzelni egy külön kis részt, ahol egy-két mondatban leírják, miért csinálták a fórumot.</t>
  </si>
  <si>
    <t>Nekem az új oldal jobban tetszik, mert rövidebb, egyértelműbb, és látom, hol van vége. A régi oldalon nagyon sokáig kellett lefelé tekerni, és nem volt egyértelmű, mikor ér véget.</t>
  </si>
  <si>
    <t>Igazából desktop nézetben szerintem a kezdő gondolat sokkal jobban el van magyarázva. Látszik a mentoráció, a konferenciák, és van egy ilyen „ice breaker” kezdőszöveg, egy bekezdés, amit el lehet olvasni, és ami sokkal informatívabb arról, miről szól az egész.</t>
  </si>
  <si>
    <t>Ha a korosztályomból indulok ki, akkor egy 8-as vagy 9-es pontszámot mondanék. Bár ez függ az egyéni beállítottságtól is. De az Erasmus+, a mentoráció, a versenyek és a konferenciák egy nyitott, egyetemista számára nagyon jó továbbtanulási és fejlődési lehetőségek. Szóval ezért mondanék 8-ast vagy inkább 9-est.</t>
  </si>
  <si>
    <t>Karriert.</t>
  </si>
  <si>
    <t>Én egy 6-ost mondanék. Azért, mert például az Erasmus lehetőség már kevésbé releváns számomra a korom és az egyetemi helyzetem miatt. Lassan végzek, van egy biztos munkahelyem, így a mentorációra sem feltétlenül lenne már szükségem. De a versenyek és konferenciák még mindig nagyon jó networking és tudásbővítési lehetőségek.</t>
  </si>
  <si>
    <t>Nem volt.</t>
  </si>
  <si>
    <t>Talán azt, hogy van-e applikáció, és elérhető-e iOS-re vagy Androidra.</t>
  </si>
  <si>
    <t>Nem, nem találtam. Szerintem eléggé egyértelmű a landing page, hogy mi mit csinál és hova lehet menni.</t>
  </si>
  <si>
    <t>Tízes. Telefonos nézetben rögtön látszik a lehetőségek rész, ahogy betölt az oldal. Desktopon egy kicsit le kell görgetni, de ott is gyorsan előkerül.</t>
  </si>
  <si>
    <t>Nincsen</t>
  </si>
  <si>
    <t>Valószínűleg nem változtatnék semmit.</t>
  </si>
  <si>
    <t>Letisztult, átlátható. Telefonon nagyon szép, kompakt, minden szöveg olvasható, a szemnek kellemes, a színek is jól harmonizálnak.</t>
  </si>
  <si>
    <t>Amikor rákattint a felhasználó a „Bejárás” vagy „Regisztráció” fülre, az ottani megjelenés, animáció tetszett.</t>
  </si>
  <si>
    <t>Nem tapasztaltam ilyet.</t>
  </si>
  <si>
    <t>Egy 9-est mondanék, az akadálymentesítés hiánya miatt. Hasznos lenne egy sötét mód, WCAG-barát színkontraszt, stb.</t>
  </si>
  <si>
    <t>Business casual, letisztult, összeszedett, huszonéves irodai típus.</t>
  </si>
  <si>
    <t>Desktopon, ahogy betölt az oldal, kicsit le kell görgetni, és a „Lehetőségek” menüpont alatt ki lehet választani a „Konferenciák” és „Előadások” fület — és ott listázza az eseményeket.</t>
  </si>
  <si>
    <t>A jobb felső sarokban található „Regisztráció” gombbal.</t>
  </si>
  <si>
    <t>Könnyen olvasható volt.</t>
  </si>
  <si>
    <t>Teljes mértékben — tehát 10-est adnék. Minden megfelelő méretű, olvasható, kompakt.</t>
  </si>
  <si>
    <t>Nincsen ilyen.</t>
  </si>
  <si>
    <t>Teljes mértékben hitelesnek.</t>
  </si>
  <si>
    <t>A komplexitása. Látszik, hogy értelmesen és valós szándékkal van felépítve.</t>
  </si>
  <si>
    <t>Talán egy „Gyakori kérdések” rész jól jönne.</t>
  </si>
  <si>
    <t>A landing page eleje.</t>
  </si>
  <si>
    <t>A „Lehetőségek” alatti kategóriák.</t>
  </si>
  <si>
    <t>Akadálymentesítés: sötét mód, színkontraszt, hozzáférhetőségi funkciók.</t>
  </si>
  <si>
    <t>Az új sokkal fiatalosabb. A régi olyan volt, mintha cégeknek készült volna: hivatalos hatást keltett. Az új dizájn sokkal jobban célozza a fiatalokat.</t>
  </si>
  <si>
    <t>Az új prototípus alapján az első benyomásom az volt, hogy ez egy eseményeket és különböző programokat összefoglaló oldal. Látszik, hogy Erasmus, mentoráció, konferenciák, versenyek — tehát ezeknek egy ilyen gyűjtőoldala, ami ezt a szolgáltatást mutatja be.</t>
  </si>
  <si>
    <t>Egy 9-est mondanék. Azért, mert például az Erasmus és a mentoráció — főleg a mentoráció — nagyon fontos tényező a fiatalok életében, főleg az egyetem elején. Az Erasmust nemzetközi kapcsolatok szempontjából nagyon fontosnak tartom. Így ennyit mondanék.</t>
  </si>
  <si>
    <t>Mentoráció.</t>
  </si>
  <si>
    <t>Egy 8-ast adnék. Azért, mert az Erasmus számomra már nem annyira releváns, mivel nagyon sok időt vesz igénybe. Viszont a mentoráció és a versenyek — illetve akár a konferenciák is — még teljesen relevánsak lehetnek az életemben. Szóval ezért adok 8-at.</t>
  </si>
  <si>
    <t>Nem, most nem érzem, hogy bármi extrára szükségem lenne.</t>
  </si>
  <si>
    <t>A lehetőségekre, fent a menüben.</t>
  </si>
  <si>
    <t>Nem. Szerintem eléggé egyértelmű ez a landing page, hogy mi mit csinál és hova lehet menni.</t>
  </si>
  <si>
    <t>10-es. Egyből kiszúrja a szememet, hogy hol van a lehetőségek fül, nem teszi bonyolulttá az oldal a tájékozódást.</t>
  </si>
  <si>
    <t>Nincsen, viszont a földgömb ikon szerintem másoknak nem biztos, hogy egyértelmű. Szerintem segítene, ha ki lenne írva mellé, hogy milyen nyelven van épp az oldal. Maga az ikon lehetne egyértelműbb.</t>
  </si>
  <si>
    <t>Nem változtatnék. Elég letisztult és egyértelmű így.</t>
  </si>
  <si>
    <t>Nagyon egyértelmű, letisztult, a színek stimmelnek, nincsenek nagy eltérések. Az ikonok és a betűméretek olvashatóak, nem túl kicsik, nem túl nagyok.</t>
  </si>
  <si>
    <t>A kisebb képek és az azokon lévő elnevezések, hogy mit kínál maga a fórum. Azok fogtak meg leginkább.</t>
  </si>
  <si>
    <t>Nem, max a földgömb ikont tudnám kiemelni, hogy azon lehetne minimálisan javítani.</t>
  </si>
  <si>
    <t>Tízest adok. Minden problémát, amit korábban láttam vagy gondoltam, mostanra kijavítottnak érzem. Sokkal letisztultabb és egyértelműbb lett az oldal, nincsenek fölösleges elemek.</t>
  </si>
  <si>
    <t>Egy letisztult, irodai, húszas éveiben járó személynek képzelném el, aki business casual ruházatban van, összeszedett és fókuszált, de nem túl komoly.</t>
  </si>
  <si>
    <t>Ha a landing page-ről indulok, akkor letekerve a lehetőségek résznél kiválasztom a konferencia fület, és ott látom az összes konferencia eseményt.</t>
  </si>
  <si>
    <t>A jobb felső sarokban lévő „Regisztráció” gombbal. Szerintem ez a legegyértelműbb.</t>
  </si>
  <si>
    <t>Teljesen olvasható volt. Jók a betűméretek.</t>
  </si>
  <si>
    <t>Nem. Minden kategória szépen ki van bontva, részletesen le van írva.</t>
  </si>
  <si>
    <t>10-es. Mobilon is rendben van a betűméret, minden megtalálható, nincsenek méretproblémák, jól elfér a tartalom.</t>
  </si>
  <si>
    <t>Szerintem semmi. Aki tudja, hogyan érje el az oldalt, annak nem lesz gondja a használattal.</t>
  </si>
  <si>
    <t>Nagyon hitelesnek. Látszik, hogy van mögötte munka, letisztult, megbízhatónak tűnik.</t>
  </si>
  <si>
    <t>Tetszik, hogy ki van emelve, miért érdemes használni az oldalt — ez szépen meg van csinálva. Az események részletessége is meggyőző.</t>
  </si>
  <si>
    <t>10-es. Nem kelt bennem negatív érzést az oldal, a felépítése modern, minden rendben van vele.</t>
  </si>
  <si>
    <t>Már a legelső blokk, ahogy betölt az oldal — ott le van írva röviden, mivel foglalkozik a fórum.</t>
  </si>
  <si>
    <t>A felső menüsor opciói és a lehetőségek alatti kategóriafülek nagyon egyértelműek, biztosra visznek.</t>
  </si>
  <si>
    <t>A nyelvi beállítás ikonja — azt cserélném le, vagy kiírnám mellé, hogy HU/EN.</t>
  </si>
  <si>
    <t>Egyértelműen a mostani. Az előző oldallal kapcsolatban minden észrevételem megoldódott, egyszerűbb, letisztultabb, részletgazdagabb. A színek jók, és nincsenek fölösleges elemek.</t>
  </si>
  <si>
    <t>Hát itt rögtön a legelején nagyon jól, középen össze van foglalva, hogy mire jó ez. Rögtön láttam, hogy diákoknak segít rendezvényeket, versenyeket egy helyen összegyűjteni.</t>
  </si>
  <si>
    <t>Tízest mondanék. Nem emlékszem pontosan, hogy előzőleg is benne volt-e, de ez a konferencia és verseny rész nagyon kiszélesíti a Fórumot. Az Erasmus+ is nagyon menő lehetőség, de nagyobb idő- és energiabefektetés, mint elmenni egy konferenciára vagy egy versenyre. Ezek sokkal inkább jelen vannak a diákok életében.</t>
  </si>
  <si>
    <t>Diákoknak segít rendezvényeket versenyeket egy helyre összegyűjteni.</t>
  </si>
  <si>
    <t>Tízest mondanék, mert én kifejezetten szeretek konferenciákra járni, és egyre több verseny iránt érdeklődöm. Tök jó, hogy egy helyen össze van gyűjtve minden.</t>
  </si>
  <si>
    <t>Nem, nem igazán.</t>
  </si>
  <si>
    <t>Én először végigtekergetném az egészet, hogy lássam, mi ez és hogyan működik, és utána mennék rá a lehetőségekre, kattintgatnék, hogy mik ezek.</t>
  </si>
  <si>
    <t>Nem, szerintem nagyon egyértelmű.</t>
  </si>
  <si>
    <t>Egy 9-est mondanék, mert teljesen egyértelmű, hol vannak a lehetőségek. Amit kevésbé szeretek, hogy ahhoz, hogy részleteket lássak, rögtön regisztrálni kell.</t>
  </si>
  <si>
    <t>Az első gondolatom az volt, hogy a legfelül lévő négy kis kép lehetne kattintható. De rögtön alatta ott vannak a lehetőségek, szóval ez inkább apróság.</t>
  </si>
  <si>
    <t>Az előzőhöz képest sokkal fiatalosabb, dinamikusabb. Jobban látszódnak a részletek. A folyamat lépései sokkal szembetűnőbbek. Az alján az „App letöltése”, „Kövess minket” rész is sokkal egyértelműbb lett, és nem tűnik hibásnak, mint az előző verzióban. Összességében nagyon figyelemfelkeltő.</t>
  </si>
  <si>
    <t>A kis lépéseket mondanám: „Regisztrálj — ingyenes és az is marad”. Nagyon szép, jól érthető. Meg a missziórész is tetszik.</t>
  </si>
  <si>
    <t>Én a „mindent tudó osztálytárs” típusnak képzelem el — a jó fej mindentudót, aki nyitott mindenre, segítőkész, és ha kell, nagyon beleteszi a munkát.</t>
  </si>
  <si>
    <t>Lentebb tekernék, és a második blokknál rányomnék a konferenciára vagy az előadásra.</t>
  </si>
  <si>
    <t>Szerintem akkor, amikor meglátok egy szimpatikus lehetőséget, és ott felugrik a regisztrációs lehetőség.</t>
  </si>
  <si>
    <t>A kis lehetőségkártyákon lehetne kicsit több infó, de így is figyelemfelkeltőek.</t>
  </si>
  <si>
    <t>Teljesen. Tízest adnék.</t>
  </si>
  <si>
    <t>Szerintem eléggé hozzáférhető, nem látok ilyen problémát.</t>
  </si>
  <si>
    <t>Most hatalmas fejlődést látok, szóval 10-est adnék. Az is sokat ad hozzá, hogy van „Folytatás Google fiókkal / Apple fiókkal” opció, ez plusz bizalmi faktor. A blogrészek is sokat segítenek.</t>
  </si>
  <si>
    <t>A Google- és Apple-fiókos belépés.</t>
  </si>
  <si>
    <t>Tetszene, ha kicsit több infót is látnék regisztráció nélkül.</t>
  </si>
  <si>
    <t>Leginkább az első blokk — képek, szöveg, minden egyértelmű.</t>
  </si>
  <si>
    <t>A lehetőségek blokk nagyon tetszik, mert végig lehet kattintani, hogy mit keresel pontosan.</t>
  </si>
  <si>
    <t>Ha rákattintok egy lehetőségre, jó lenne, ha látnék pár apró infót (helyszín, szervező, pár adat) a regisztráció előtt.</t>
  </si>
  <si>
    <t>Egyértelműen az új oldal. Sokkal szebb vizuálisan, használhatóbb is. Az előzőn fontos részletek is aprók voltak és nem voltak szembetűnőek. A sáv is olyan volt, mintha csak „oda lett volna dobva”. Az új gyönyörűen láttatja a lényeget, a blogrészek személyesebbé és megbízhatóbbá teszik.</t>
  </si>
  <si>
    <t>A lehetőségeket láttam benne. Főként diákokat és fiatalokat céloz, tömören ennyi.</t>
  </si>
  <si>
    <t>Én egy 8-ast mondanék. Számomra sok minden nem annyira érdekes, viszont a kortársaimnak igen. Nekem a karriermentor program tetszik. Nem tudom pontosan, hogy mit takar, miben mentorálnak, de hasznos lehet.</t>
  </si>
  <si>
    <t>Lehetőséget a készségek továbbfejlesztésére.</t>
  </si>
  <si>
    <t>Én négyet mondanék, mert ez inkább a gazdasági, karrierépítő területen hasznos, ott relevánsabb.</t>
  </si>
  <si>
    <t>Nem, szerintem nagyon letisztult volt. Nem volt túl sok információ, se túl kevés. Pont jó.</t>
  </si>
  <si>
    <t>A lehetőségekre. Rögtön az tűnt fel, hogy „Találj életre szóló lehetőségeket”, és érdekelt, mik ezek.</t>
  </si>
  <si>
    <t>10. Fent rögtön ott van: Erasmus, önkéntes programok stb. Lehet szűrni, és egyből látszik minden.</t>
  </si>
  <si>
    <t>Nem változtatnék. Szerintem tökéletes így.</t>
  </si>
  <si>
    <t>Tetszik, hogy letisztult és modern hangulatú. Az animációkkal még jobb lesz majd.</t>
  </si>
  <si>
    <t>A színválasztás. Nincs túl sok szín, de minden jól látható.</t>
  </si>
  <si>
    <t>A „Találj életre szóló lehetőségeket” szekció háttere egy picit más színű, mint a többi rész – ez kicsit furcsa volt.</t>
  </si>
  <si>
    <t>9.</t>
  </si>
  <si>
    <t>Egyszerű, hétköznapi, barátságos.</t>
  </si>
  <si>
    <t>A lehetőségeknél.</t>
  </si>
  <si>
    <t>Felül, a regisztráció gombnál.</t>
  </si>
  <si>
    <t>Teljesen jól olvasható. Jó a szín, jó a méret.</t>
  </si>
  <si>
    <t>10. Abszolút érthető, letisztult minden.</t>
  </si>
  <si>
    <t>Semmi.</t>
  </si>
  <si>
    <t>Abszolút hiteles. Alul ott a „Kövess minket”, felhasználási feltételek, adatvédelem – ezeket mindig keresem.</t>
  </si>
  <si>
    <t>A blogok – hogy valós visszajelzések vannak olyanoktól, akik már használták a szolgáltatást.</t>
  </si>
  <si>
    <t>Rögtön az első kép és az alatta lévő szöveg.</t>
  </si>
  <si>
    <t>Minden átlátható, így nem volt külön ilyen rész.</t>
  </si>
  <si>
    <t>Nem hiányzott semmi.</t>
  </si>
  <si>
    <t>Nekem az új jobban tetszik, letisztultabb, és könnyebb eligazodni rajta. A régi színei hasonlók, de az új modernebb hatású.</t>
  </si>
  <si>
    <t>Változások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</si>
</sst>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b/>
      <sz val="11"/>
      <color theme="1"/>
      <name val="Calibri"/>
      <family val="2"/>
      <charset val="238"/>
      <scheme val="minor"/>
    </font>
    <font>
      <b/>
      <sz val="11"/>
      <color rgb="FF000000"/>
      <name val="Calibri"/>
      <family val="2"/>
      <charset val="238"/>
      <scheme val="minor"/>
    </font>
    <font>
      <sz val="11"/>
      <color rgb="FF000000"/>
      <name val="Calibri"/>
      <family val="2"/>
      <charset val="238"/>
      <scheme val="minor"/>
    </font>
    <font>
      <b/>
      <sz val="11"/>
      <color theme="4" tint="-0.499984740745262"/>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3"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vertical="center"/>
    </xf>
    <xf numFmtId="0" fontId="3" fillId="0" borderId="0" xfId="0" applyFont="1"/>
    <xf numFmtId="0" fontId="1" fillId="0" borderId="0" xfId="0" applyFont="1" applyAlignment="1">
      <alignment horizontal="left" vertical="center" wrapText="1"/>
    </xf>
    <xf numFmtId="2" fontId="3" fillId="0" borderId="0" xfId="0" applyNumberFormat="1" applyFont="1"/>
    <xf numFmtId="2" fontId="6" fillId="0" borderId="0" xfId="0" applyNumberFormat="1" applyFont="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zoomScale="70" zoomScaleNormal="70" workbookViewId="0">
      <selection activeCell="I16" sqref="I16"/>
    </sheetView>
  </sheetViews>
  <sheetFormatPr defaultRowHeight="14.55" x14ac:dyDescent="0.3"/>
  <cols>
    <col min="1" max="1" width="14.77734375" customWidth="1"/>
    <col min="2" max="2" width="143.33203125" bestFit="1" customWidth="1"/>
    <col min="3" max="3" width="14.109375" customWidth="1"/>
  </cols>
  <sheetData>
    <row r="1" spans="1:12" x14ac:dyDescent="0.3">
      <c r="A1" s="1" t="s">
        <v>16</v>
      </c>
      <c r="B1" s="3" t="s">
        <v>0</v>
      </c>
      <c r="C1" s="1" t="s">
        <v>1</v>
      </c>
      <c r="D1" s="1" t="s">
        <v>2</v>
      </c>
      <c r="E1" s="1" t="s">
        <v>3</v>
      </c>
      <c r="F1" s="1" t="s">
        <v>4</v>
      </c>
      <c r="G1" s="1" t="s">
        <v>5</v>
      </c>
      <c r="H1" s="1" t="s">
        <v>6</v>
      </c>
      <c r="I1" s="1" t="s">
        <v>7</v>
      </c>
      <c r="J1" s="1" t="s">
        <v>8</v>
      </c>
      <c r="K1" s="1" t="s">
        <v>9</v>
      </c>
      <c r="L1" s="1" t="s">
        <v>10</v>
      </c>
    </row>
    <row r="2" spans="1:12" ht="16.350000000000001" customHeight="1" x14ac:dyDescent="0.3">
      <c r="A2" s="7" t="s">
        <v>14</v>
      </c>
      <c r="B2" s="2" t="s">
        <v>11</v>
      </c>
      <c r="C2" s="10" t="s">
        <v>47</v>
      </c>
      <c r="D2" s="10" t="s">
        <v>78</v>
      </c>
      <c r="E2" s="10" t="s">
        <v>107</v>
      </c>
      <c r="F2" s="10" t="s">
        <v>136</v>
      </c>
      <c r="G2" s="10" t="s">
        <v>164</v>
      </c>
      <c r="H2" s="10" t="s">
        <v>193</v>
      </c>
      <c r="I2" s="10" t="s">
        <v>220</v>
      </c>
      <c r="J2" s="10" t="s">
        <v>245</v>
      </c>
      <c r="K2" s="10" t="s">
        <v>273</v>
      </c>
      <c r="L2" s="10" t="s">
        <v>302</v>
      </c>
    </row>
    <row r="3" spans="1:12" ht="16.350000000000001" customHeight="1" x14ac:dyDescent="0.3">
      <c r="A3" s="7"/>
      <c r="B3" s="2" t="s">
        <v>45</v>
      </c>
      <c r="C3" s="10" t="s">
        <v>49</v>
      </c>
      <c r="D3" s="10" t="s">
        <v>79</v>
      </c>
      <c r="E3" s="10" t="s">
        <v>108</v>
      </c>
      <c r="F3" s="10" t="s">
        <v>137</v>
      </c>
      <c r="G3" s="10" t="s">
        <v>165</v>
      </c>
      <c r="H3" s="10" t="s">
        <v>194</v>
      </c>
      <c r="I3" s="10" t="s">
        <v>221</v>
      </c>
      <c r="J3" s="10" t="s">
        <v>246</v>
      </c>
      <c r="K3" s="10" t="s">
        <v>274</v>
      </c>
      <c r="L3" s="10" t="s">
        <v>303</v>
      </c>
    </row>
    <row r="4" spans="1:12" ht="17.55" customHeight="1" x14ac:dyDescent="0.3">
      <c r="A4" s="7"/>
      <c r="B4" s="2" t="s">
        <v>12</v>
      </c>
      <c r="C4" s="10" t="s">
        <v>50</v>
      </c>
      <c r="D4" s="10" t="s">
        <v>80</v>
      </c>
      <c r="E4" s="10" t="s">
        <v>109</v>
      </c>
      <c r="F4" s="10" t="s">
        <v>138</v>
      </c>
      <c r="G4" s="10" t="s">
        <v>166</v>
      </c>
      <c r="H4" s="10" t="s">
        <v>195</v>
      </c>
      <c r="I4" s="10" t="s">
        <v>166</v>
      </c>
      <c r="J4" s="10" t="s">
        <v>247</v>
      </c>
      <c r="K4" s="10" t="s">
        <v>275</v>
      </c>
      <c r="L4" s="10" t="s">
        <v>304</v>
      </c>
    </row>
    <row r="5" spans="1:12" ht="19.399999999999999" customHeight="1" x14ac:dyDescent="0.3">
      <c r="A5" s="7"/>
      <c r="B5" s="2" t="s">
        <v>46</v>
      </c>
      <c r="C5" s="10" t="s">
        <v>51</v>
      </c>
      <c r="D5" s="10" t="s">
        <v>81</v>
      </c>
      <c r="E5" s="10" t="s">
        <v>110</v>
      </c>
      <c r="F5" s="10" t="s">
        <v>139</v>
      </c>
      <c r="G5" s="10" t="s">
        <v>167</v>
      </c>
      <c r="H5" s="10" t="s">
        <v>196</v>
      </c>
      <c r="I5" s="10" t="s">
        <v>222</v>
      </c>
      <c r="J5" s="10" t="s">
        <v>248</v>
      </c>
      <c r="K5" s="10" t="s">
        <v>276</v>
      </c>
      <c r="L5" s="10" t="s">
        <v>305</v>
      </c>
    </row>
    <row r="6" spans="1:12" ht="15.75" customHeight="1" x14ac:dyDescent="0.3">
      <c r="A6" s="7"/>
      <c r="B6" s="2" t="s">
        <v>13</v>
      </c>
      <c r="C6" s="10" t="s">
        <v>52</v>
      </c>
      <c r="D6" s="10" t="s">
        <v>82</v>
      </c>
      <c r="E6" s="10" t="s">
        <v>111</v>
      </c>
      <c r="F6" s="10" t="s">
        <v>140</v>
      </c>
      <c r="G6" s="10" t="s">
        <v>168</v>
      </c>
      <c r="H6" s="10" t="s">
        <v>197</v>
      </c>
      <c r="I6" s="10" t="s">
        <v>223</v>
      </c>
      <c r="J6" s="10" t="s">
        <v>249</v>
      </c>
      <c r="K6" s="10" t="s">
        <v>277</v>
      </c>
      <c r="L6" s="10" t="s">
        <v>306</v>
      </c>
    </row>
    <row r="7" spans="1:12" ht="18.8" customHeight="1" x14ac:dyDescent="0.3">
      <c r="A7" s="7" t="s">
        <v>15</v>
      </c>
      <c r="B7" s="2" t="s">
        <v>17</v>
      </c>
      <c r="C7" s="10" t="s">
        <v>53</v>
      </c>
      <c r="D7" s="10" t="s">
        <v>83</v>
      </c>
      <c r="E7" s="10" t="s">
        <v>112</v>
      </c>
      <c r="F7" s="10" t="s">
        <v>141</v>
      </c>
      <c r="G7" s="10" t="s">
        <v>169</v>
      </c>
      <c r="H7" s="10" t="s">
        <v>198</v>
      </c>
      <c r="I7" s="10" t="s">
        <v>224</v>
      </c>
      <c r="J7" s="10" t="s">
        <v>250</v>
      </c>
      <c r="K7" s="10" t="s">
        <v>278</v>
      </c>
      <c r="L7" s="10" t="s">
        <v>307</v>
      </c>
    </row>
    <row r="8" spans="1:12" ht="18.8" customHeight="1" x14ac:dyDescent="0.3">
      <c r="A8" s="7"/>
      <c r="B8" s="2" t="s">
        <v>18</v>
      </c>
      <c r="C8" s="10" t="s">
        <v>54</v>
      </c>
      <c r="D8" s="10" t="s">
        <v>84</v>
      </c>
      <c r="E8" s="10" t="s">
        <v>113</v>
      </c>
      <c r="F8" s="10" t="s">
        <v>142</v>
      </c>
      <c r="G8" s="10" t="s">
        <v>170</v>
      </c>
      <c r="H8" s="10" t="s">
        <v>134</v>
      </c>
      <c r="I8" s="10" t="s">
        <v>225</v>
      </c>
      <c r="J8" s="10" t="s">
        <v>251</v>
      </c>
      <c r="K8" s="10" t="s">
        <v>279</v>
      </c>
      <c r="L8" s="10" t="s">
        <v>308</v>
      </c>
    </row>
    <row r="9" spans="1:12" ht="16.95" customHeight="1" x14ac:dyDescent="0.3">
      <c r="A9" s="7"/>
      <c r="B9" s="2" t="s">
        <v>42</v>
      </c>
      <c r="C9" s="10" t="s">
        <v>55</v>
      </c>
      <c r="D9" s="10" t="s">
        <v>85</v>
      </c>
      <c r="E9" s="10" t="s">
        <v>114</v>
      </c>
      <c r="F9" s="10" t="s">
        <v>143</v>
      </c>
      <c r="G9" s="10" t="s">
        <v>171</v>
      </c>
      <c r="H9" s="10" t="s">
        <v>199</v>
      </c>
      <c r="I9" s="10" t="s">
        <v>226</v>
      </c>
      <c r="J9" s="10" t="s">
        <v>252</v>
      </c>
      <c r="K9" s="10" t="s">
        <v>280</v>
      </c>
      <c r="L9" s="10" t="s">
        <v>309</v>
      </c>
    </row>
    <row r="10" spans="1:12" ht="25.6" customHeight="1" x14ac:dyDescent="0.3">
      <c r="A10" s="7"/>
      <c r="B10" s="2" t="s">
        <v>19</v>
      </c>
      <c r="C10" s="10" t="s">
        <v>56</v>
      </c>
      <c r="D10" s="10" t="s">
        <v>86</v>
      </c>
      <c r="E10" s="10" t="s">
        <v>115</v>
      </c>
      <c r="F10" s="10" t="s">
        <v>144</v>
      </c>
      <c r="G10" s="10" t="s">
        <v>172</v>
      </c>
      <c r="H10" s="10" t="s">
        <v>200</v>
      </c>
      <c r="I10" s="10" t="s">
        <v>200</v>
      </c>
      <c r="J10" s="10" t="s">
        <v>253</v>
      </c>
      <c r="K10" s="10" t="s">
        <v>281</v>
      </c>
      <c r="L10" s="10" t="s">
        <v>310</v>
      </c>
    </row>
    <row r="11" spans="1:12" ht="22.4" customHeight="1" x14ac:dyDescent="0.3">
      <c r="A11" s="7"/>
      <c r="B11" s="2" t="s">
        <v>20</v>
      </c>
      <c r="C11" s="10" t="s">
        <v>57</v>
      </c>
      <c r="D11" s="10" t="s">
        <v>87</v>
      </c>
      <c r="E11" s="10" t="s">
        <v>116</v>
      </c>
      <c r="F11" s="10" t="s">
        <v>145</v>
      </c>
      <c r="G11" s="10" t="s">
        <v>173</v>
      </c>
      <c r="H11" s="10" t="s">
        <v>201</v>
      </c>
      <c r="I11" s="10" t="s">
        <v>227</v>
      </c>
      <c r="J11" s="10" t="s">
        <v>254</v>
      </c>
      <c r="K11" s="10" t="s">
        <v>282</v>
      </c>
      <c r="L11" s="10" t="s">
        <v>311</v>
      </c>
    </row>
    <row r="12" spans="1:12" ht="22.4" customHeight="1" x14ac:dyDescent="0.3">
      <c r="A12" s="7" t="s">
        <v>21</v>
      </c>
      <c r="B12" s="2" t="s">
        <v>22</v>
      </c>
      <c r="C12" s="10" t="s">
        <v>58</v>
      </c>
      <c r="D12" s="10" t="s">
        <v>88</v>
      </c>
      <c r="E12" s="10" t="s">
        <v>117</v>
      </c>
      <c r="F12" s="10" t="s">
        <v>146</v>
      </c>
      <c r="G12" s="10" t="s">
        <v>174</v>
      </c>
      <c r="H12" s="10" t="s">
        <v>202</v>
      </c>
      <c r="I12" s="10" t="s">
        <v>228</v>
      </c>
      <c r="J12" s="10" t="s">
        <v>255</v>
      </c>
      <c r="K12" s="10" t="s">
        <v>283</v>
      </c>
      <c r="L12" s="10" t="s">
        <v>312</v>
      </c>
    </row>
    <row r="13" spans="1:12" ht="22.4" customHeight="1" x14ac:dyDescent="0.3">
      <c r="A13" s="7"/>
      <c r="B13" s="2" t="s">
        <v>23</v>
      </c>
      <c r="C13" s="10" t="s">
        <v>76</v>
      </c>
      <c r="D13" s="10" t="s">
        <v>89</v>
      </c>
      <c r="E13" s="10" t="s">
        <v>118</v>
      </c>
      <c r="F13" s="10" t="s">
        <v>147</v>
      </c>
      <c r="G13" s="10" t="s">
        <v>175</v>
      </c>
      <c r="H13" s="10" t="s">
        <v>203</v>
      </c>
      <c r="I13" s="10" t="s">
        <v>229</v>
      </c>
      <c r="J13" s="10" t="s">
        <v>256</v>
      </c>
      <c r="K13" s="10" t="s">
        <v>284</v>
      </c>
      <c r="L13" s="10" t="s">
        <v>313</v>
      </c>
    </row>
    <row r="14" spans="1:12" ht="22.4" customHeight="1" x14ac:dyDescent="0.3">
      <c r="A14" s="7"/>
      <c r="B14" s="2" t="s">
        <v>24</v>
      </c>
      <c r="C14" s="10" t="s">
        <v>59</v>
      </c>
      <c r="D14" s="10" t="s">
        <v>90</v>
      </c>
      <c r="E14" s="10" t="s">
        <v>119</v>
      </c>
      <c r="F14" s="10" t="s">
        <v>148</v>
      </c>
      <c r="G14" s="10" t="s">
        <v>176</v>
      </c>
      <c r="H14" s="10" t="s">
        <v>204</v>
      </c>
      <c r="I14" s="10" t="s">
        <v>230</v>
      </c>
      <c r="J14" s="10" t="s">
        <v>257</v>
      </c>
      <c r="K14" s="10" t="s">
        <v>285</v>
      </c>
      <c r="L14" s="10" t="s">
        <v>314</v>
      </c>
    </row>
    <row r="15" spans="1:12" ht="22.4" customHeight="1" x14ac:dyDescent="0.3">
      <c r="A15" s="7"/>
      <c r="B15" s="2" t="s">
        <v>43</v>
      </c>
      <c r="C15" s="10" t="s">
        <v>60</v>
      </c>
      <c r="D15" s="10" t="s">
        <v>91</v>
      </c>
      <c r="E15" s="10" t="s">
        <v>120</v>
      </c>
      <c r="F15" s="10" t="s">
        <v>149</v>
      </c>
      <c r="G15" s="10" t="s">
        <v>177</v>
      </c>
      <c r="H15" s="10" t="s">
        <v>205</v>
      </c>
      <c r="I15" s="10" t="s">
        <v>231</v>
      </c>
      <c r="J15" s="10" t="s">
        <v>258</v>
      </c>
      <c r="K15" s="10" t="s">
        <v>286</v>
      </c>
      <c r="L15" s="10" t="s">
        <v>315</v>
      </c>
    </row>
    <row r="16" spans="1:12" ht="22.4" customHeight="1" x14ac:dyDescent="0.3">
      <c r="A16" s="7"/>
      <c r="B16" s="2" t="s">
        <v>25</v>
      </c>
      <c r="C16" s="10" t="s">
        <v>61</v>
      </c>
      <c r="D16" s="10" t="s">
        <v>92</v>
      </c>
      <c r="E16" s="10" t="s">
        <v>121</v>
      </c>
      <c r="F16" s="10" t="s">
        <v>150</v>
      </c>
      <c r="G16" s="10" t="s">
        <v>178</v>
      </c>
      <c r="H16" s="10" t="s">
        <v>206</v>
      </c>
      <c r="I16" s="10" t="s">
        <v>232</v>
      </c>
      <c r="J16" s="10" t="s">
        <v>259</v>
      </c>
      <c r="K16" s="10" t="s">
        <v>287</v>
      </c>
      <c r="L16" s="10" t="s">
        <v>316</v>
      </c>
    </row>
    <row r="17" spans="1:12" ht="22.4" customHeight="1" x14ac:dyDescent="0.3">
      <c r="A17" s="7" t="s">
        <v>26</v>
      </c>
      <c r="B17" s="2" t="s">
        <v>27</v>
      </c>
      <c r="C17" s="10" t="s">
        <v>62</v>
      </c>
      <c r="D17" s="10" t="s">
        <v>93</v>
      </c>
      <c r="E17" s="10" t="s">
        <v>122</v>
      </c>
      <c r="F17" s="10" t="s">
        <v>151</v>
      </c>
      <c r="G17" s="10" t="s">
        <v>179</v>
      </c>
      <c r="H17" s="10" t="s">
        <v>207</v>
      </c>
      <c r="I17" s="10" t="s">
        <v>233</v>
      </c>
      <c r="J17" s="10" t="s">
        <v>260</v>
      </c>
      <c r="K17" s="10" t="s">
        <v>288</v>
      </c>
      <c r="L17" s="10" t="s">
        <v>317</v>
      </c>
    </row>
    <row r="18" spans="1:12" ht="22.4" customHeight="1" x14ac:dyDescent="0.3">
      <c r="A18" s="7"/>
      <c r="B18" s="2" t="s">
        <v>28</v>
      </c>
      <c r="C18" s="10" t="s">
        <v>77</v>
      </c>
      <c r="D18" s="10" t="s">
        <v>94</v>
      </c>
      <c r="E18" s="10" t="s">
        <v>123</v>
      </c>
      <c r="F18" s="10" t="s">
        <v>152</v>
      </c>
      <c r="G18" s="10" t="s">
        <v>180</v>
      </c>
      <c r="H18" s="10" t="s">
        <v>208</v>
      </c>
      <c r="I18" s="10" t="s">
        <v>234</v>
      </c>
      <c r="J18" s="10" t="s">
        <v>261</v>
      </c>
      <c r="K18" s="10" t="s">
        <v>289</v>
      </c>
      <c r="L18" s="10" t="s">
        <v>318</v>
      </c>
    </row>
    <row r="19" spans="1:12" ht="22.4" customHeight="1" x14ac:dyDescent="0.3">
      <c r="A19" s="6" t="s">
        <v>29</v>
      </c>
      <c r="B19" s="2" t="s">
        <v>30</v>
      </c>
      <c r="C19" s="10" t="s">
        <v>63</v>
      </c>
      <c r="D19" s="10" t="s">
        <v>95</v>
      </c>
      <c r="E19" s="10" t="s">
        <v>124</v>
      </c>
      <c r="F19" s="10" t="s">
        <v>153</v>
      </c>
      <c r="G19" s="10" t="s">
        <v>181</v>
      </c>
      <c r="H19" s="10" t="s">
        <v>209</v>
      </c>
      <c r="I19" s="10" t="s">
        <v>235</v>
      </c>
      <c r="J19" s="10" t="s">
        <v>262</v>
      </c>
      <c r="K19" s="10" t="s">
        <v>290</v>
      </c>
      <c r="L19" s="10" t="s">
        <v>319</v>
      </c>
    </row>
    <row r="20" spans="1:12" ht="22.4" customHeight="1" x14ac:dyDescent="0.3">
      <c r="A20" s="6"/>
      <c r="B20" s="2" t="s">
        <v>31</v>
      </c>
      <c r="C20" s="10" t="s">
        <v>64</v>
      </c>
      <c r="D20" s="10" t="s">
        <v>96</v>
      </c>
      <c r="E20" s="10" t="s">
        <v>135</v>
      </c>
      <c r="F20" s="10" t="s">
        <v>134</v>
      </c>
      <c r="G20" s="10" t="s">
        <v>182</v>
      </c>
      <c r="H20" s="10" t="s">
        <v>210</v>
      </c>
      <c r="I20" s="10" t="s">
        <v>134</v>
      </c>
      <c r="J20" s="10" t="s">
        <v>263</v>
      </c>
      <c r="K20" s="10" t="s">
        <v>291</v>
      </c>
      <c r="L20" s="10" t="s">
        <v>320</v>
      </c>
    </row>
    <row r="21" spans="1:12" ht="22.4" customHeight="1" x14ac:dyDescent="0.3">
      <c r="A21" s="6"/>
      <c r="B21" s="2" t="s">
        <v>41</v>
      </c>
      <c r="C21" s="10" t="s">
        <v>65</v>
      </c>
      <c r="D21" s="10" t="s">
        <v>97</v>
      </c>
      <c r="E21" s="10" t="s">
        <v>125</v>
      </c>
      <c r="F21" s="10" t="s">
        <v>154</v>
      </c>
      <c r="G21" s="10" t="s">
        <v>183</v>
      </c>
      <c r="H21" s="10" t="s">
        <v>211</v>
      </c>
      <c r="I21" s="10" t="s">
        <v>236</v>
      </c>
      <c r="J21" s="10" t="s">
        <v>264</v>
      </c>
      <c r="K21" s="10" t="s">
        <v>292</v>
      </c>
      <c r="L21" s="10" t="s">
        <v>321</v>
      </c>
    </row>
    <row r="22" spans="1:12" ht="22.4" customHeight="1" x14ac:dyDescent="0.3">
      <c r="A22" s="6"/>
      <c r="B22" s="2" t="s">
        <v>32</v>
      </c>
      <c r="C22" s="10" t="s">
        <v>66</v>
      </c>
      <c r="D22" s="10" t="s">
        <v>98</v>
      </c>
      <c r="E22" s="10" t="s">
        <v>126</v>
      </c>
      <c r="F22" s="10" t="s">
        <v>155</v>
      </c>
      <c r="G22" s="10" t="s">
        <v>184</v>
      </c>
      <c r="H22" s="10" t="s">
        <v>212</v>
      </c>
      <c r="I22" s="10" t="s">
        <v>237</v>
      </c>
      <c r="J22" s="10" t="s">
        <v>265</v>
      </c>
      <c r="K22" s="10" t="s">
        <v>293</v>
      </c>
      <c r="L22" s="10" t="s">
        <v>322</v>
      </c>
    </row>
    <row r="23" spans="1:12" ht="18.8" customHeight="1" x14ac:dyDescent="0.3">
      <c r="A23" s="6" t="s">
        <v>33</v>
      </c>
      <c r="B23" s="2" t="s">
        <v>34</v>
      </c>
      <c r="C23" s="10" t="s">
        <v>67</v>
      </c>
      <c r="D23" s="10" t="s">
        <v>99</v>
      </c>
      <c r="E23" s="10" t="s">
        <v>127</v>
      </c>
      <c r="F23" s="10" t="s">
        <v>156</v>
      </c>
      <c r="G23" s="10" t="s">
        <v>185</v>
      </c>
      <c r="H23" s="10" t="s">
        <v>213</v>
      </c>
      <c r="I23" s="10" t="s">
        <v>238</v>
      </c>
      <c r="J23" s="10" t="s">
        <v>267</v>
      </c>
      <c r="K23" s="10" t="s">
        <v>294</v>
      </c>
      <c r="L23" s="10" t="s">
        <v>323</v>
      </c>
    </row>
    <row r="24" spans="1:12" ht="18.8" customHeight="1" x14ac:dyDescent="0.3">
      <c r="A24" s="6"/>
      <c r="B24" s="2" t="s">
        <v>40</v>
      </c>
      <c r="C24" s="10" t="s">
        <v>68</v>
      </c>
      <c r="D24" s="10" t="s">
        <v>100</v>
      </c>
      <c r="E24" s="10" t="s">
        <v>128</v>
      </c>
      <c r="F24" s="10" t="s">
        <v>157</v>
      </c>
      <c r="G24" s="10" t="s">
        <v>186</v>
      </c>
      <c r="H24" s="10" t="s">
        <v>214</v>
      </c>
      <c r="I24" s="10" t="s">
        <v>239</v>
      </c>
      <c r="J24" s="10" t="s">
        <v>266</v>
      </c>
      <c r="K24" s="10" t="s">
        <v>295</v>
      </c>
      <c r="L24" s="10" t="s">
        <v>324</v>
      </c>
    </row>
    <row r="25" spans="1:12" ht="18.8" customHeight="1" x14ac:dyDescent="0.3">
      <c r="A25" s="6"/>
      <c r="B25" s="2" t="s">
        <v>39</v>
      </c>
      <c r="C25" s="10" t="s">
        <v>69</v>
      </c>
      <c r="D25" s="10" t="s">
        <v>101</v>
      </c>
      <c r="E25" s="10" t="s">
        <v>129</v>
      </c>
      <c r="F25" s="10" t="s">
        <v>158</v>
      </c>
      <c r="G25" s="10" t="s">
        <v>187</v>
      </c>
      <c r="H25" s="10" t="s">
        <v>200</v>
      </c>
      <c r="I25" s="10" t="s">
        <v>240</v>
      </c>
      <c r="J25" s="10" t="s">
        <v>268</v>
      </c>
      <c r="K25" s="10" t="s">
        <v>296</v>
      </c>
      <c r="L25" s="10" t="s">
        <v>325</v>
      </c>
    </row>
    <row r="26" spans="1:12" ht="18.8" customHeight="1" x14ac:dyDescent="0.3">
      <c r="A26" s="6"/>
      <c r="B26" s="2" t="s">
        <v>44</v>
      </c>
      <c r="C26" s="10" t="s">
        <v>70</v>
      </c>
      <c r="D26" s="10" t="s">
        <v>102</v>
      </c>
      <c r="E26" s="10" t="s">
        <v>130</v>
      </c>
      <c r="F26" s="10" t="s">
        <v>159</v>
      </c>
      <c r="G26" s="10" t="s">
        <v>188</v>
      </c>
      <c r="H26" s="10" t="s">
        <v>215</v>
      </c>
      <c r="I26" s="10" t="s">
        <v>241</v>
      </c>
      <c r="J26" s="10" t="s">
        <v>269</v>
      </c>
      <c r="K26" s="10" t="s">
        <v>297</v>
      </c>
      <c r="L26" s="10" t="s">
        <v>326</v>
      </c>
    </row>
    <row r="27" spans="1:12" ht="18.8" customHeight="1" x14ac:dyDescent="0.3">
      <c r="A27" s="6" t="s">
        <v>35</v>
      </c>
      <c r="B27" s="2" t="s">
        <v>36</v>
      </c>
      <c r="C27" s="10" t="s">
        <v>71</v>
      </c>
      <c r="D27" s="10" t="s">
        <v>103</v>
      </c>
      <c r="E27" s="10" t="s">
        <v>131</v>
      </c>
      <c r="F27" s="10" t="s">
        <v>160</v>
      </c>
      <c r="G27" s="10" t="s">
        <v>189</v>
      </c>
      <c r="H27" s="10" t="s">
        <v>216</v>
      </c>
      <c r="I27" s="10" t="s">
        <v>242</v>
      </c>
      <c r="J27" s="10" t="s">
        <v>270</v>
      </c>
      <c r="K27" s="10" t="s">
        <v>298</v>
      </c>
      <c r="L27" s="10" t="s">
        <v>327</v>
      </c>
    </row>
    <row r="28" spans="1:12" ht="18.8" customHeight="1" x14ac:dyDescent="0.3">
      <c r="A28" s="6"/>
      <c r="B28" s="2" t="s">
        <v>37</v>
      </c>
      <c r="C28" s="10" t="s">
        <v>72</v>
      </c>
      <c r="D28" s="10" t="s">
        <v>104</v>
      </c>
      <c r="E28" s="10" t="s">
        <v>132</v>
      </c>
      <c r="F28" s="10" t="s">
        <v>161</v>
      </c>
      <c r="G28" s="10" t="s">
        <v>190</v>
      </c>
      <c r="H28" s="10" t="s">
        <v>217</v>
      </c>
      <c r="I28" s="10" t="s">
        <v>243</v>
      </c>
      <c r="J28" s="10" t="s">
        <v>271</v>
      </c>
      <c r="K28" s="10" t="s">
        <v>299</v>
      </c>
      <c r="L28" s="10" t="s">
        <v>328</v>
      </c>
    </row>
    <row r="29" spans="1:12" ht="18.8" customHeight="1" x14ac:dyDescent="0.3">
      <c r="A29" s="6"/>
      <c r="B29" s="2" t="s">
        <v>38</v>
      </c>
      <c r="C29" s="10" t="s">
        <v>73</v>
      </c>
      <c r="D29" s="10" t="s">
        <v>105</v>
      </c>
      <c r="E29" s="10" t="s">
        <v>133</v>
      </c>
      <c r="F29" s="10" t="s">
        <v>162</v>
      </c>
      <c r="G29" s="10" t="s">
        <v>191</v>
      </c>
      <c r="H29" s="10" t="s">
        <v>218</v>
      </c>
      <c r="I29" s="10" t="s">
        <v>244</v>
      </c>
      <c r="J29" s="10" t="s">
        <v>272</v>
      </c>
      <c r="K29" s="10" t="s">
        <v>300</v>
      </c>
      <c r="L29" s="10" t="s">
        <v>329</v>
      </c>
    </row>
    <row r="30" spans="1:12" ht="18.8" customHeight="1" x14ac:dyDescent="0.3">
      <c r="B30" t="s">
        <v>74</v>
      </c>
      <c r="C30" s="10" t="s">
        <v>75</v>
      </c>
      <c r="D30" s="10" t="s">
        <v>106</v>
      </c>
      <c r="E30" s="10" t="s">
        <v>134</v>
      </c>
      <c r="F30" s="10" t="s">
        <v>163</v>
      </c>
      <c r="G30" s="10" t="s">
        <v>192</v>
      </c>
      <c r="H30" s="10" t="s">
        <v>219</v>
      </c>
      <c r="I30" s="10" t="s">
        <v>192</v>
      </c>
      <c r="J30" s="10" t="s">
        <v>192</v>
      </c>
      <c r="K30" s="10" t="s">
        <v>301</v>
      </c>
      <c r="L30" s="10" t="s">
        <v>330</v>
      </c>
    </row>
  </sheetData>
  <mergeCells count="7">
    <mergeCell ref="A27:A29"/>
    <mergeCell ref="A2:A6"/>
    <mergeCell ref="A7:A11"/>
    <mergeCell ref="A12:A16"/>
    <mergeCell ref="A17:A18"/>
    <mergeCell ref="A19:A22"/>
    <mergeCell ref="A23:A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A560-B21A-49F6-9AE1-0629DA81A3A5}">
  <dimension ref="A1:L31"/>
  <sheetViews>
    <sheetView topLeftCell="A12" zoomScale="85" zoomScaleNormal="85" workbookViewId="0">
      <selection activeCell="L26" sqref="L26"/>
    </sheetView>
  </sheetViews>
  <sheetFormatPr defaultRowHeight="14.55" x14ac:dyDescent="0.3"/>
  <cols>
    <col min="1" max="1" width="14.77734375" customWidth="1"/>
    <col min="2" max="2" width="143.33203125" bestFit="1" customWidth="1"/>
    <col min="3" max="3" width="14.109375" customWidth="1"/>
  </cols>
  <sheetData>
    <row r="1" spans="1:12" x14ac:dyDescent="0.3">
      <c r="A1" s="1" t="s">
        <v>16</v>
      </c>
      <c r="B1" s="3" t="s">
        <v>0</v>
      </c>
      <c r="C1" s="1" t="s">
        <v>1</v>
      </c>
      <c r="D1" s="1" t="s">
        <v>2</v>
      </c>
      <c r="E1" s="1" t="s">
        <v>3</v>
      </c>
      <c r="F1" s="1" t="s">
        <v>4</v>
      </c>
      <c r="G1" s="1" t="s">
        <v>5</v>
      </c>
      <c r="H1" s="1" t="s">
        <v>6</v>
      </c>
      <c r="I1" s="1" t="s">
        <v>7</v>
      </c>
      <c r="J1" s="1" t="s">
        <v>8</v>
      </c>
      <c r="K1" s="1" t="s">
        <v>9</v>
      </c>
      <c r="L1" s="1" t="s">
        <v>10</v>
      </c>
    </row>
    <row r="2" spans="1:12" ht="16.350000000000001" customHeight="1" x14ac:dyDescent="0.3">
      <c r="A2" s="7" t="s">
        <v>14</v>
      </c>
      <c r="B2" s="2" t="s">
        <v>11</v>
      </c>
      <c r="C2" s="10" t="s">
        <v>332</v>
      </c>
      <c r="D2" s="10" t="s">
        <v>360</v>
      </c>
      <c r="E2" s="10" t="s">
        <v>388</v>
      </c>
      <c r="F2" s="10" t="s">
        <v>417</v>
      </c>
      <c r="G2" s="10" t="s">
        <v>437</v>
      </c>
      <c r="H2" s="10" t="s">
        <v>463</v>
      </c>
      <c r="I2" s="10" t="s">
        <v>488</v>
      </c>
      <c r="J2" s="10" t="s">
        <v>515</v>
      </c>
      <c r="K2" s="10" t="s">
        <v>543</v>
      </c>
      <c r="L2" s="10" t="s">
        <v>567</v>
      </c>
    </row>
    <row r="3" spans="1:12" ht="16.350000000000001" customHeight="1" x14ac:dyDescent="0.3">
      <c r="A3" s="7"/>
      <c r="B3" s="2" t="s">
        <v>45</v>
      </c>
      <c r="C3" s="10" t="s">
        <v>333</v>
      </c>
      <c r="D3" s="10" t="s">
        <v>361</v>
      </c>
      <c r="E3" s="10" t="s">
        <v>389</v>
      </c>
      <c r="F3" s="10" t="s">
        <v>413</v>
      </c>
      <c r="G3" s="10" t="s">
        <v>438</v>
      </c>
      <c r="H3" s="10" t="s">
        <v>464</v>
      </c>
      <c r="I3" s="10" t="s">
        <v>489</v>
      </c>
      <c r="J3" s="10" t="s">
        <v>516</v>
      </c>
      <c r="K3" s="10" t="s">
        <v>544</v>
      </c>
      <c r="L3" s="10" t="s">
        <v>568</v>
      </c>
    </row>
    <row r="4" spans="1:12" ht="17.55" customHeight="1" x14ac:dyDescent="0.3">
      <c r="A4" s="7"/>
      <c r="B4" s="2" t="s">
        <v>12</v>
      </c>
      <c r="C4" s="10" t="s">
        <v>334</v>
      </c>
      <c r="D4" s="10" t="s">
        <v>362</v>
      </c>
      <c r="E4" s="10" t="s">
        <v>390</v>
      </c>
      <c r="F4" s="10" t="s">
        <v>414</v>
      </c>
      <c r="G4" s="10" t="s">
        <v>439</v>
      </c>
      <c r="H4" s="10" t="s">
        <v>465</v>
      </c>
      <c r="I4" s="10" t="s">
        <v>490</v>
      </c>
      <c r="J4" s="10" t="s">
        <v>517</v>
      </c>
      <c r="K4" s="10" t="s">
        <v>545</v>
      </c>
      <c r="L4" s="10" t="s">
        <v>569</v>
      </c>
    </row>
    <row r="5" spans="1:12" ht="19.399999999999999" customHeight="1" x14ac:dyDescent="0.3">
      <c r="A5" s="7"/>
      <c r="B5" s="2" t="s">
        <v>46</v>
      </c>
      <c r="C5" s="10" t="s">
        <v>335</v>
      </c>
      <c r="D5" s="10" t="s">
        <v>363</v>
      </c>
      <c r="E5" s="10" t="s">
        <v>391</v>
      </c>
      <c r="F5" s="10" t="s">
        <v>415</v>
      </c>
      <c r="G5" s="10" t="s">
        <v>440</v>
      </c>
      <c r="H5" s="10" t="s">
        <v>466</v>
      </c>
      <c r="I5" s="10" t="s">
        <v>491</v>
      </c>
      <c r="J5" s="10" t="s">
        <v>518</v>
      </c>
      <c r="K5" s="10" t="s">
        <v>546</v>
      </c>
      <c r="L5" s="10" t="s">
        <v>570</v>
      </c>
    </row>
    <row r="6" spans="1:12" ht="15.75" customHeight="1" x14ac:dyDescent="0.3">
      <c r="A6" s="7"/>
      <c r="B6" s="2" t="s">
        <v>13</v>
      </c>
      <c r="C6" s="10" t="s">
        <v>336</v>
      </c>
      <c r="D6" s="10" t="s">
        <v>364</v>
      </c>
      <c r="E6" s="10" t="s">
        <v>134</v>
      </c>
      <c r="F6" s="10" t="s">
        <v>416</v>
      </c>
      <c r="G6" s="10" t="s">
        <v>441</v>
      </c>
      <c r="H6" s="10" t="s">
        <v>467</v>
      </c>
      <c r="I6" s="10" t="s">
        <v>492</v>
      </c>
      <c r="J6" s="10" t="s">
        <v>519</v>
      </c>
      <c r="K6" s="10" t="s">
        <v>547</v>
      </c>
      <c r="L6" s="10" t="s">
        <v>571</v>
      </c>
    </row>
    <row r="7" spans="1:12" ht="18.8" customHeight="1" x14ac:dyDescent="0.3">
      <c r="A7" s="7" t="s">
        <v>15</v>
      </c>
      <c r="B7" s="2" t="s">
        <v>17</v>
      </c>
      <c r="C7" s="10" t="s">
        <v>338</v>
      </c>
      <c r="D7" s="10" t="s">
        <v>365</v>
      </c>
      <c r="E7" s="10" t="s">
        <v>392</v>
      </c>
      <c r="F7" s="10" t="s">
        <v>418</v>
      </c>
      <c r="G7" s="10" t="s">
        <v>442</v>
      </c>
      <c r="H7" s="10" t="s">
        <v>468</v>
      </c>
      <c r="I7" s="10" t="s">
        <v>493</v>
      </c>
      <c r="J7" s="10" t="s">
        <v>520</v>
      </c>
      <c r="K7" s="10" t="s">
        <v>548</v>
      </c>
      <c r="L7" s="10" t="s">
        <v>572</v>
      </c>
    </row>
    <row r="8" spans="1:12" ht="18.8" customHeight="1" x14ac:dyDescent="0.3">
      <c r="A8" s="7"/>
      <c r="B8" s="2" t="s">
        <v>18</v>
      </c>
      <c r="C8" s="10" t="s">
        <v>337</v>
      </c>
      <c r="D8" s="10" t="s">
        <v>366</v>
      </c>
      <c r="E8" s="10" t="s">
        <v>393</v>
      </c>
      <c r="F8" s="10" t="s">
        <v>134</v>
      </c>
      <c r="G8" s="10" t="s">
        <v>443</v>
      </c>
      <c r="H8" s="10" t="s">
        <v>377</v>
      </c>
      <c r="I8" s="10" t="s">
        <v>494</v>
      </c>
      <c r="J8" s="10" t="s">
        <v>521</v>
      </c>
      <c r="K8" s="10" t="s">
        <v>549</v>
      </c>
      <c r="L8" s="10" t="s">
        <v>134</v>
      </c>
    </row>
    <row r="9" spans="1:12" ht="16.95" customHeight="1" x14ac:dyDescent="0.3">
      <c r="A9" s="7"/>
      <c r="B9" s="2" t="s">
        <v>42</v>
      </c>
      <c r="C9" s="10" t="s">
        <v>339</v>
      </c>
      <c r="D9" s="10" t="s">
        <v>367</v>
      </c>
      <c r="E9" s="10" t="s">
        <v>394</v>
      </c>
      <c r="F9" s="10" t="s">
        <v>419</v>
      </c>
      <c r="G9" s="10" t="s">
        <v>444</v>
      </c>
      <c r="H9" s="10" t="s">
        <v>469</v>
      </c>
      <c r="I9" s="10" t="s">
        <v>495</v>
      </c>
      <c r="J9" s="10" t="s">
        <v>522</v>
      </c>
      <c r="K9" s="10" t="s">
        <v>550</v>
      </c>
      <c r="L9" s="10" t="s">
        <v>573</v>
      </c>
    </row>
    <row r="10" spans="1:12" ht="25.6" customHeight="1" x14ac:dyDescent="0.3">
      <c r="A10" s="7"/>
      <c r="B10" s="2" t="s">
        <v>19</v>
      </c>
      <c r="C10" s="10" t="s">
        <v>340</v>
      </c>
      <c r="D10" s="10" t="s">
        <v>200</v>
      </c>
      <c r="E10" s="10" t="s">
        <v>340</v>
      </c>
      <c r="F10" s="10" t="s">
        <v>148</v>
      </c>
      <c r="G10" s="10" t="s">
        <v>445</v>
      </c>
      <c r="H10" s="10" t="s">
        <v>470</v>
      </c>
      <c r="I10" s="10" t="s">
        <v>496</v>
      </c>
      <c r="J10" s="10" t="s">
        <v>523</v>
      </c>
      <c r="K10" s="10" t="s">
        <v>340</v>
      </c>
      <c r="L10" s="10" t="s">
        <v>340</v>
      </c>
    </row>
    <row r="11" spans="1:12" ht="22.4" customHeight="1" x14ac:dyDescent="0.3">
      <c r="A11" s="7"/>
      <c r="B11" s="2" t="s">
        <v>20</v>
      </c>
      <c r="C11" s="10" t="s">
        <v>341</v>
      </c>
      <c r="D11" s="10" t="s">
        <v>368</v>
      </c>
      <c r="E11" s="10" t="s">
        <v>395</v>
      </c>
      <c r="F11" s="10" t="s">
        <v>420</v>
      </c>
      <c r="G11" s="10" t="s">
        <v>446</v>
      </c>
      <c r="H11" s="10" t="s">
        <v>471</v>
      </c>
      <c r="I11" s="10" t="s">
        <v>497</v>
      </c>
      <c r="J11" s="10" t="s">
        <v>524</v>
      </c>
      <c r="K11" s="10" t="s">
        <v>551</v>
      </c>
      <c r="L11" s="10" t="s">
        <v>574</v>
      </c>
    </row>
    <row r="12" spans="1:12" ht="22.4" customHeight="1" x14ac:dyDescent="0.3">
      <c r="A12" s="7" t="s">
        <v>21</v>
      </c>
      <c r="B12" s="2" t="s">
        <v>22</v>
      </c>
      <c r="C12" s="10" t="s">
        <v>342</v>
      </c>
      <c r="D12" s="10" t="s">
        <v>369</v>
      </c>
      <c r="E12" s="10" t="s">
        <v>396</v>
      </c>
      <c r="F12" s="10" t="s">
        <v>421</v>
      </c>
      <c r="G12" s="10" t="s">
        <v>447</v>
      </c>
      <c r="H12" s="10" t="s">
        <v>472</v>
      </c>
      <c r="I12" s="10" t="s">
        <v>498</v>
      </c>
      <c r="J12" s="10" t="s">
        <v>525</v>
      </c>
      <c r="K12" s="10" t="s">
        <v>552</v>
      </c>
      <c r="L12" s="10" t="s">
        <v>575</v>
      </c>
    </row>
    <row r="13" spans="1:12" ht="22.4" customHeight="1" x14ac:dyDescent="0.3">
      <c r="A13" s="7"/>
      <c r="B13" s="2" t="s">
        <v>23</v>
      </c>
      <c r="C13" s="10" t="s">
        <v>343</v>
      </c>
      <c r="D13" s="10" t="s">
        <v>370</v>
      </c>
      <c r="E13" s="10" t="s">
        <v>397</v>
      </c>
      <c r="F13" s="10" t="s">
        <v>422</v>
      </c>
      <c r="G13" s="10" t="s">
        <v>448</v>
      </c>
      <c r="H13" s="10" t="s">
        <v>473</v>
      </c>
      <c r="I13" s="10" t="s">
        <v>499</v>
      </c>
      <c r="J13" s="10" t="s">
        <v>526</v>
      </c>
      <c r="K13" s="10" t="s">
        <v>553</v>
      </c>
      <c r="L13" s="10" t="s">
        <v>576</v>
      </c>
    </row>
    <row r="14" spans="1:12" ht="22.4" customHeight="1" x14ac:dyDescent="0.3">
      <c r="A14" s="7"/>
      <c r="B14" s="2" t="s">
        <v>24</v>
      </c>
      <c r="C14" s="10" t="s">
        <v>344</v>
      </c>
      <c r="D14" s="10" t="s">
        <v>371</v>
      </c>
      <c r="E14" s="10" t="s">
        <v>134</v>
      </c>
      <c r="F14" s="10" t="s">
        <v>134</v>
      </c>
      <c r="G14" s="10" t="s">
        <v>134</v>
      </c>
      <c r="H14" s="10" t="s">
        <v>474</v>
      </c>
      <c r="I14" s="10" t="s">
        <v>500</v>
      </c>
      <c r="J14" s="10" t="s">
        <v>527</v>
      </c>
      <c r="K14" s="10" t="s">
        <v>200</v>
      </c>
      <c r="L14" s="10" t="s">
        <v>577</v>
      </c>
    </row>
    <row r="15" spans="1:12" ht="22.4" customHeight="1" x14ac:dyDescent="0.3">
      <c r="A15" s="7"/>
      <c r="B15" s="2" t="s">
        <v>43</v>
      </c>
      <c r="C15" s="10" t="s">
        <v>345</v>
      </c>
      <c r="D15" s="10" t="s">
        <v>372</v>
      </c>
      <c r="E15" s="10" t="s">
        <v>398</v>
      </c>
      <c r="F15" s="10" t="s">
        <v>423</v>
      </c>
      <c r="G15" s="10" t="s">
        <v>449</v>
      </c>
      <c r="H15" s="10" t="s">
        <v>469</v>
      </c>
      <c r="I15" s="10" t="s">
        <v>501</v>
      </c>
      <c r="J15" s="10" t="s">
        <v>528</v>
      </c>
      <c r="K15" s="10" t="s">
        <v>159</v>
      </c>
      <c r="L15" s="10" t="s">
        <v>578</v>
      </c>
    </row>
    <row r="16" spans="1:12" ht="22.4" customHeight="1" x14ac:dyDescent="0.3">
      <c r="A16" s="7"/>
      <c r="B16" s="2" t="s">
        <v>25</v>
      </c>
      <c r="C16" s="10" t="s">
        <v>346</v>
      </c>
      <c r="D16" s="10" t="s">
        <v>373</v>
      </c>
      <c r="E16" s="10" t="s">
        <v>399</v>
      </c>
      <c r="F16" s="10" t="s">
        <v>424</v>
      </c>
      <c r="G16" s="10" t="s">
        <v>450</v>
      </c>
      <c r="H16" s="10" t="s">
        <v>475</v>
      </c>
      <c r="I16" s="10" t="s">
        <v>502</v>
      </c>
      <c r="J16" s="10" t="s">
        <v>529</v>
      </c>
      <c r="K16" s="10" t="s">
        <v>554</v>
      </c>
      <c r="L16" s="10" t="s">
        <v>579</v>
      </c>
    </row>
    <row r="17" spans="1:12" ht="22.4" customHeight="1" x14ac:dyDescent="0.3">
      <c r="A17" s="7" t="s">
        <v>26</v>
      </c>
      <c r="B17" s="2" t="s">
        <v>27</v>
      </c>
      <c r="C17" s="10" t="s">
        <v>347</v>
      </c>
      <c r="D17" s="10" t="s">
        <v>374</v>
      </c>
      <c r="E17" s="10" t="s">
        <v>400</v>
      </c>
      <c r="F17" s="10" t="s">
        <v>425</v>
      </c>
      <c r="G17" s="10" t="s">
        <v>451</v>
      </c>
      <c r="H17" s="10" t="s">
        <v>476</v>
      </c>
      <c r="I17" s="10" t="s">
        <v>503</v>
      </c>
      <c r="J17" s="10" t="s">
        <v>530</v>
      </c>
      <c r="K17" s="10" t="s">
        <v>555</v>
      </c>
      <c r="L17" s="10" t="s">
        <v>580</v>
      </c>
    </row>
    <row r="18" spans="1:12" ht="22.4" customHeight="1" x14ac:dyDescent="0.3">
      <c r="A18" s="7"/>
      <c r="B18" s="2" t="s">
        <v>28</v>
      </c>
      <c r="C18" s="10" t="s">
        <v>348</v>
      </c>
      <c r="D18" s="10" t="s">
        <v>375</v>
      </c>
      <c r="E18" s="10" t="s">
        <v>401</v>
      </c>
      <c r="F18" s="10" t="s">
        <v>426</v>
      </c>
      <c r="G18" s="10" t="s">
        <v>452</v>
      </c>
      <c r="H18" s="10" t="s">
        <v>477</v>
      </c>
      <c r="I18" s="10" t="s">
        <v>504</v>
      </c>
      <c r="J18" s="10" t="s">
        <v>531</v>
      </c>
      <c r="K18" s="10" t="s">
        <v>556</v>
      </c>
      <c r="L18" s="10" t="s">
        <v>581</v>
      </c>
    </row>
    <row r="19" spans="1:12" ht="22.4" customHeight="1" x14ac:dyDescent="0.3">
      <c r="A19" s="6" t="s">
        <v>29</v>
      </c>
      <c r="B19" s="2" t="s">
        <v>30</v>
      </c>
      <c r="C19" s="10" t="s">
        <v>349</v>
      </c>
      <c r="D19" s="10" t="s">
        <v>376</v>
      </c>
      <c r="E19" s="10" t="s">
        <v>402</v>
      </c>
      <c r="F19" s="10" t="s">
        <v>427</v>
      </c>
      <c r="G19" s="10" t="s">
        <v>453</v>
      </c>
      <c r="H19" s="10" t="s">
        <v>478</v>
      </c>
      <c r="I19" s="10" t="s">
        <v>505</v>
      </c>
      <c r="J19" s="10" t="s">
        <v>532</v>
      </c>
      <c r="K19" s="10" t="s">
        <v>453</v>
      </c>
      <c r="L19" s="10" t="s">
        <v>582</v>
      </c>
    </row>
    <row r="20" spans="1:12" ht="22.4" customHeight="1" x14ac:dyDescent="0.3">
      <c r="A20" s="6"/>
      <c r="B20" s="2" t="s">
        <v>31</v>
      </c>
      <c r="C20" s="10" t="s">
        <v>350</v>
      </c>
      <c r="D20" s="10" t="s">
        <v>377</v>
      </c>
      <c r="E20" s="10" t="s">
        <v>350</v>
      </c>
      <c r="F20" s="10" t="s">
        <v>428</v>
      </c>
      <c r="G20" s="10" t="s">
        <v>454</v>
      </c>
      <c r="H20" s="10" t="s">
        <v>479</v>
      </c>
      <c r="I20" s="10" t="s">
        <v>479</v>
      </c>
      <c r="J20" s="10" t="s">
        <v>533</v>
      </c>
      <c r="K20" s="10" t="s">
        <v>557</v>
      </c>
      <c r="L20" s="10" t="s">
        <v>134</v>
      </c>
    </row>
    <row r="21" spans="1:12" ht="22.4" customHeight="1" x14ac:dyDescent="0.3">
      <c r="A21" s="6"/>
      <c r="B21" s="2" t="s">
        <v>41</v>
      </c>
      <c r="C21" s="10" t="s">
        <v>351</v>
      </c>
      <c r="D21" s="10" t="s">
        <v>378</v>
      </c>
      <c r="E21" s="10" t="s">
        <v>403</v>
      </c>
      <c r="F21" s="10" t="s">
        <v>430</v>
      </c>
      <c r="G21" s="10" t="s">
        <v>455</v>
      </c>
      <c r="H21" s="10" t="s">
        <v>480</v>
      </c>
      <c r="I21" s="10" t="s">
        <v>506</v>
      </c>
      <c r="J21" s="10" t="s">
        <v>534</v>
      </c>
      <c r="K21" s="10" t="s">
        <v>558</v>
      </c>
      <c r="L21" s="10" t="s">
        <v>583</v>
      </c>
    </row>
    <row r="22" spans="1:12" ht="22.4" customHeight="1" x14ac:dyDescent="0.3">
      <c r="A22" s="6"/>
      <c r="B22" s="2" t="s">
        <v>32</v>
      </c>
      <c r="C22" s="10" t="s">
        <v>352</v>
      </c>
      <c r="D22" s="10" t="s">
        <v>379</v>
      </c>
      <c r="E22" s="10" t="s">
        <v>404</v>
      </c>
      <c r="F22" s="10" t="s">
        <v>431</v>
      </c>
      <c r="G22" s="10" t="s">
        <v>456</v>
      </c>
      <c r="H22" s="10" t="s">
        <v>350</v>
      </c>
      <c r="I22" s="10" t="s">
        <v>507</v>
      </c>
      <c r="J22" s="10" t="s">
        <v>535</v>
      </c>
      <c r="K22" s="10" t="s">
        <v>559</v>
      </c>
      <c r="L22" s="10" t="s">
        <v>584</v>
      </c>
    </row>
    <row r="23" spans="1:12" ht="18.8" customHeight="1" x14ac:dyDescent="0.3">
      <c r="A23" s="6" t="s">
        <v>33</v>
      </c>
      <c r="B23" s="2" t="s">
        <v>34</v>
      </c>
      <c r="C23" s="10" t="s">
        <v>353</v>
      </c>
      <c r="D23" s="10" t="s">
        <v>380</v>
      </c>
      <c r="E23" s="10" t="s">
        <v>405</v>
      </c>
      <c r="F23" s="10" t="s">
        <v>432</v>
      </c>
      <c r="G23" s="10" t="s">
        <v>457</v>
      </c>
      <c r="H23" s="10" t="s">
        <v>481</v>
      </c>
      <c r="I23" s="10" t="s">
        <v>508</v>
      </c>
      <c r="J23" s="10" t="s">
        <v>536</v>
      </c>
      <c r="K23" s="10" t="s">
        <v>560</v>
      </c>
      <c r="L23" s="10" t="s">
        <v>585</v>
      </c>
    </row>
    <row r="24" spans="1:12" ht="18.8" customHeight="1" x14ac:dyDescent="0.3">
      <c r="A24" s="6"/>
      <c r="B24" s="2" t="s">
        <v>40</v>
      </c>
      <c r="C24" s="10" t="s">
        <v>354</v>
      </c>
      <c r="D24" s="10" t="s">
        <v>381</v>
      </c>
      <c r="E24" s="10" t="s">
        <v>406</v>
      </c>
      <c r="F24" s="10" t="s">
        <v>433</v>
      </c>
      <c r="G24" s="10" t="s">
        <v>458</v>
      </c>
      <c r="H24" s="10" t="s">
        <v>482</v>
      </c>
      <c r="I24" s="10" t="s">
        <v>509</v>
      </c>
      <c r="J24" s="10" t="s">
        <v>537</v>
      </c>
      <c r="K24" s="10" t="s">
        <v>561</v>
      </c>
      <c r="L24" s="10" t="s">
        <v>586</v>
      </c>
    </row>
    <row r="25" spans="1:12" ht="18.8" customHeight="1" x14ac:dyDescent="0.3">
      <c r="A25" s="6"/>
      <c r="B25" s="2" t="s">
        <v>39</v>
      </c>
      <c r="C25" s="10" t="s">
        <v>355</v>
      </c>
      <c r="D25" s="10" t="s">
        <v>382</v>
      </c>
      <c r="E25" s="10" t="s">
        <v>407</v>
      </c>
      <c r="F25" s="10" t="s">
        <v>340</v>
      </c>
      <c r="G25" s="10" t="s">
        <v>340</v>
      </c>
      <c r="H25" s="10" t="s">
        <v>483</v>
      </c>
      <c r="I25" s="10" t="s">
        <v>510</v>
      </c>
      <c r="J25" s="10" t="s">
        <v>134</v>
      </c>
      <c r="K25" s="10" t="s">
        <v>562</v>
      </c>
      <c r="L25" s="10" t="s">
        <v>134</v>
      </c>
    </row>
    <row r="26" spans="1:12" ht="18.8" customHeight="1" x14ac:dyDescent="0.3">
      <c r="A26" s="6"/>
      <c r="B26" s="2" t="s">
        <v>44</v>
      </c>
      <c r="C26" s="10" t="s">
        <v>345</v>
      </c>
      <c r="D26" s="10" t="s">
        <v>383</v>
      </c>
      <c r="E26" s="10" t="s">
        <v>408</v>
      </c>
      <c r="F26" s="10" t="s">
        <v>429</v>
      </c>
      <c r="G26" s="10" t="s">
        <v>429</v>
      </c>
      <c r="H26" s="10" t="s">
        <v>469</v>
      </c>
      <c r="I26" s="10" t="s">
        <v>429</v>
      </c>
      <c r="J26" s="10" t="s">
        <v>538</v>
      </c>
      <c r="K26" s="10" t="s">
        <v>469</v>
      </c>
      <c r="L26" s="10" t="s">
        <v>578</v>
      </c>
    </row>
    <row r="27" spans="1:12" ht="18.8" customHeight="1" x14ac:dyDescent="0.3">
      <c r="A27" s="6" t="s">
        <v>35</v>
      </c>
      <c r="B27" s="2" t="s">
        <v>36</v>
      </c>
      <c r="C27" s="10" t="s">
        <v>356</v>
      </c>
      <c r="D27" s="10" t="s">
        <v>384</v>
      </c>
      <c r="E27" s="10" t="s">
        <v>409</v>
      </c>
      <c r="F27" s="10" t="s">
        <v>434</v>
      </c>
      <c r="G27" s="10" t="s">
        <v>459</v>
      </c>
      <c r="H27" s="10" t="s">
        <v>484</v>
      </c>
      <c r="I27" s="10" t="s">
        <v>511</v>
      </c>
      <c r="J27" s="10" t="s">
        <v>539</v>
      </c>
      <c r="K27" s="10" t="s">
        <v>563</v>
      </c>
      <c r="L27" s="10" t="s">
        <v>587</v>
      </c>
    </row>
    <row r="28" spans="1:12" ht="18.8" customHeight="1" x14ac:dyDescent="0.3">
      <c r="A28" s="6"/>
      <c r="B28" s="2" t="s">
        <v>37</v>
      </c>
      <c r="C28" s="10" t="s">
        <v>357</v>
      </c>
      <c r="D28" s="10" t="s">
        <v>385</v>
      </c>
      <c r="E28" s="10" t="s">
        <v>410</v>
      </c>
      <c r="F28" s="10" t="s">
        <v>435</v>
      </c>
      <c r="G28" s="10" t="s">
        <v>460</v>
      </c>
      <c r="H28" s="10" t="s">
        <v>485</v>
      </c>
      <c r="I28" s="10" t="s">
        <v>512</v>
      </c>
      <c r="J28" s="10" t="s">
        <v>540</v>
      </c>
      <c r="K28" s="10" t="s">
        <v>564</v>
      </c>
      <c r="L28" s="10" t="s">
        <v>588</v>
      </c>
    </row>
    <row r="29" spans="1:12" ht="18.8" customHeight="1" x14ac:dyDescent="0.3">
      <c r="A29" s="6"/>
      <c r="B29" s="2" t="s">
        <v>38</v>
      </c>
      <c r="C29" s="10" t="s">
        <v>350</v>
      </c>
      <c r="D29" s="10" t="s">
        <v>386</v>
      </c>
      <c r="E29" s="10" t="s">
        <v>411</v>
      </c>
      <c r="F29" s="10" t="s">
        <v>350</v>
      </c>
      <c r="G29" s="10" t="s">
        <v>461</v>
      </c>
      <c r="H29" s="10" t="s">
        <v>486</v>
      </c>
      <c r="I29" s="10" t="s">
        <v>513</v>
      </c>
      <c r="J29" s="10" t="s">
        <v>541</v>
      </c>
      <c r="K29" s="10" t="s">
        <v>565</v>
      </c>
      <c r="L29" s="10" t="s">
        <v>589</v>
      </c>
    </row>
    <row r="30" spans="1:12" ht="18.8" customHeight="1" x14ac:dyDescent="0.3">
      <c r="B30" t="s">
        <v>358</v>
      </c>
      <c r="C30" s="10" t="s">
        <v>359</v>
      </c>
      <c r="D30" s="10" t="s">
        <v>387</v>
      </c>
      <c r="E30" s="10" t="s">
        <v>412</v>
      </c>
      <c r="F30" s="10" t="s">
        <v>436</v>
      </c>
      <c r="G30" s="10" t="s">
        <v>462</v>
      </c>
      <c r="H30" s="10" t="s">
        <v>487</v>
      </c>
      <c r="I30" s="10" t="s">
        <v>514</v>
      </c>
      <c r="J30" s="10" t="s">
        <v>542</v>
      </c>
      <c r="K30" s="10" t="s">
        <v>566</v>
      </c>
      <c r="L30" s="10" t="s">
        <v>590</v>
      </c>
    </row>
    <row r="31" spans="1:12" x14ac:dyDescent="0.3">
      <c r="L31" s="10"/>
    </row>
  </sheetData>
  <mergeCells count="7">
    <mergeCell ref="A27:A29"/>
    <mergeCell ref="A2:A6"/>
    <mergeCell ref="A7:A11"/>
    <mergeCell ref="A12:A16"/>
    <mergeCell ref="A17:A18"/>
    <mergeCell ref="A19:A22"/>
    <mergeCell ref="A23:A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080F7-35BB-43A2-9BAD-CC854AB0CFBD}">
  <dimension ref="A1:N29"/>
  <sheetViews>
    <sheetView tabSelected="1" topLeftCell="B1" workbookViewId="0">
      <selection activeCell="M16" sqref="M16"/>
    </sheetView>
  </sheetViews>
  <sheetFormatPr defaultRowHeight="14.55" x14ac:dyDescent="0.3"/>
  <cols>
    <col min="1" max="1" width="13.109375" bestFit="1" customWidth="1"/>
    <col min="2" max="2" width="143.33203125" bestFit="1" customWidth="1"/>
    <col min="3" max="13" width="9.44140625" bestFit="1" customWidth="1"/>
  </cols>
  <sheetData>
    <row r="1" spans="1:14" x14ac:dyDescent="0.3">
      <c r="A1" s="1" t="s">
        <v>16</v>
      </c>
      <c r="B1" s="3" t="s">
        <v>0</v>
      </c>
      <c r="C1" s="1" t="s">
        <v>1</v>
      </c>
      <c r="D1" s="1" t="s">
        <v>2</v>
      </c>
      <c r="E1" s="1" t="s">
        <v>3</v>
      </c>
      <c r="F1" s="1" t="s">
        <v>4</v>
      </c>
      <c r="G1" s="1" t="s">
        <v>5</v>
      </c>
      <c r="H1" s="1" t="s">
        <v>6</v>
      </c>
      <c r="I1" s="1" t="s">
        <v>7</v>
      </c>
      <c r="J1" s="1" t="s">
        <v>8</v>
      </c>
      <c r="K1" s="1" t="s">
        <v>9</v>
      </c>
      <c r="L1" s="1" t="s">
        <v>10</v>
      </c>
      <c r="M1" s="1" t="s">
        <v>331</v>
      </c>
      <c r="N1" s="1" t="s">
        <v>591</v>
      </c>
    </row>
    <row r="2" spans="1:14" x14ac:dyDescent="0.3">
      <c r="A2" s="7" t="s">
        <v>14</v>
      </c>
      <c r="B2" s="2" t="s">
        <v>45</v>
      </c>
      <c r="C2" s="8">
        <v>10</v>
      </c>
      <c r="D2" s="8">
        <v>7</v>
      </c>
      <c r="E2" s="8">
        <v>8</v>
      </c>
      <c r="F2" s="8">
        <v>8.5</v>
      </c>
      <c r="G2" s="8">
        <v>8</v>
      </c>
      <c r="H2" s="8">
        <v>8</v>
      </c>
      <c r="I2" s="8">
        <v>7</v>
      </c>
      <c r="J2" s="8">
        <v>5</v>
      </c>
      <c r="K2" s="8">
        <v>10</v>
      </c>
      <c r="L2" s="8">
        <v>5</v>
      </c>
      <c r="M2" s="9">
        <f>AVERAGE(C2:L2)</f>
        <v>7.65</v>
      </c>
      <c r="N2">
        <f>M11-M2</f>
        <v>1.2999999999999989</v>
      </c>
    </row>
    <row r="3" spans="1:14" x14ac:dyDescent="0.3">
      <c r="A3" s="7"/>
      <c r="B3" s="2" t="s">
        <v>46</v>
      </c>
      <c r="C3" s="8">
        <v>8</v>
      </c>
      <c r="D3" s="8">
        <v>6</v>
      </c>
      <c r="E3" s="8">
        <v>8</v>
      </c>
      <c r="F3" s="8">
        <v>7.5</v>
      </c>
      <c r="G3" s="8">
        <v>5</v>
      </c>
      <c r="H3" s="8">
        <v>3</v>
      </c>
      <c r="I3" s="8">
        <v>9</v>
      </c>
      <c r="J3" s="8">
        <v>5</v>
      </c>
      <c r="K3" s="8">
        <v>9</v>
      </c>
      <c r="L3" s="8">
        <v>5</v>
      </c>
      <c r="M3" s="9">
        <f t="shared" ref="M3:M7" si="0">AVERAGE(C3:L3)</f>
        <v>6.55</v>
      </c>
      <c r="N3">
        <f t="shared" ref="N3:N7" si="1">M12-M3</f>
        <v>0.75</v>
      </c>
    </row>
    <row r="4" spans="1:14" x14ac:dyDescent="0.3">
      <c r="A4" s="1" t="s">
        <v>15</v>
      </c>
      <c r="B4" s="2" t="s">
        <v>42</v>
      </c>
      <c r="C4" s="8">
        <v>10</v>
      </c>
      <c r="D4" s="8">
        <v>8</v>
      </c>
      <c r="E4" s="8">
        <v>7</v>
      </c>
      <c r="F4" s="8">
        <v>5.5</v>
      </c>
      <c r="G4" s="8">
        <v>4</v>
      </c>
      <c r="H4" s="8">
        <v>10</v>
      </c>
      <c r="I4" s="8">
        <v>8</v>
      </c>
      <c r="J4" s="8">
        <v>8</v>
      </c>
      <c r="K4" s="8">
        <v>10</v>
      </c>
      <c r="L4" s="8">
        <v>9</v>
      </c>
      <c r="M4" s="9">
        <f t="shared" si="0"/>
        <v>7.95</v>
      </c>
      <c r="N4">
        <f t="shared" si="1"/>
        <v>2.0499999999999998</v>
      </c>
    </row>
    <row r="5" spans="1:14" x14ac:dyDescent="0.3">
      <c r="A5" s="1" t="s">
        <v>21</v>
      </c>
      <c r="B5" s="2" t="s">
        <v>43</v>
      </c>
      <c r="C5" s="8">
        <v>10</v>
      </c>
      <c r="D5" s="8">
        <v>9</v>
      </c>
      <c r="E5" s="8">
        <v>10</v>
      </c>
      <c r="F5" s="8">
        <v>8.5</v>
      </c>
      <c r="G5" s="8">
        <v>7</v>
      </c>
      <c r="H5" s="8">
        <v>9</v>
      </c>
      <c r="I5" s="8">
        <v>8</v>
      </c>
      <c r="J5" s="8">
        <v>6.5</v>
      </c>
      <c r="K5" s="8">
        <v>8.5</v>
      </c>
      <c r="L5" s="8">
        <v>6</v>
      </c>
      <c r="M5" s="9">
        <f>AVERAGE(C5:L5)</f>
        <v>8.25</v>
      </c>
      <c r="N5">
        <f t="shared" si="1"/>
        <v>1.3499999999999996</v>
      </c>
    </row>
    <row r="6" spans="1:14" x14ac:dyDescent="0.3">
      <c r="A6" s="4" t="s">
        <v>29</v>
      </c>
      <c r="B6" s="2" t="s">
        <v>41</v>
      </c>
      <c r="C6" s="8">
        <v>7</v>
      </c>
      <c r="D6" s="8">
        <v>6</v>
      </c>
      <c r="E6" s="8">
        <v>7</v>
      </c>
      <c r="F6" s="8">
        <v>8</v>
      </c>
      <c r="G6" s="8">
        <v>6</v>
      </c>
      <c r="H6" s="8">
        <v>6</v>
      </c>
      <c r="I6" s="8">
        <v>10</v>
      </c>
      <c r="J6" s="8">
        <v>8</v>
      </c>
      <c r="K6" s="8">
        <v>9</v>
      </c>
      <c r="L6" s="8">
        <v>8</v>
      </c>
      <c r="M6" s="9">
        <f>AVERAGE(C6:L6)</f>
        <v>7.5</v>
      </c>
      <c r="N6">
        <f t="shared" si="1"/>
        <v>2.3000000000000007</v>
      </c>
    </row>
    <row r="7" spans="1:14" x14ac:dyDescent="0.3">
      <c r="A7" s="4" t="s">
        <v>33</v>
      </c>
      <c r="B7" s="2" t="s">
        <v>44</v>
      </c>
      <c r="C7" s="8">
        <v>10</v>
      </c>
      <c r="D7" s="8">
        <v>6.5</v>
      </c>
      <c r="E7" s="8">
        <v>10</v>
      </c>
      <c r="F7" s="8">
        <v>10</v>
      </c>
      <c r="G7" s="8">
        <v>10</v>
      </c>
      <c r="H7" s="8">
        <v>10</v>
      </c>
      <c r="I7" s="8">
        <v>7</v>
      </c>
      <c r="J7" s="8">
        <v>8</v>
      </c>
      <c r="K7" s="8">
        <v>6</v>
      </c>
      <c r="L7" s="8">
        <v>5</v>
      </c>
      <c r="M7" s="9">
        <f>AVERAGE(C7:L7)</f>
        <v>8.25</v>
      </c>
      <c r="N7">
        <f t="shared" si="1"/>
        <v>1.25</v>
      </c>
    </row>
    <row r="8" spans="1:14" x14ac:dyDescent="0.3">
      <c r="A8" s="1" t="s">
        <v>331</v>
      </c>
      <c r="B8" s="2"/>
      <c r="C8" s="11">
        <f>AVERAGE(C2:C7)</f>
        <v>9.1666666666666661</v>
      </c>
      <c r="D8" s="11">
        <f t="shared" ref="D8:M8" si="2">AVERAGE(D2:D7)</f>
        <v>7.083333333333333</v>
      </c>
      <c r="E8" s="11">
        <f t="shared" si="2"/>
        <v>8.3333333333333339</v>
      </c>
      <c r="F8" s="11">
        <f t="shared" si="2"/>
        <v>8</v>
      </c>
      <c r="G8" s="11">
        <f t="shared" si="2"/>
        <v>6.666666666666667</v>
      </c>
      <c r="H8" s="11">
        <f t="shared" si="2"/>
        <v>7.666666666666667</v>
      </c>
      <c r="I8" s="11">
        <f t="shared" si="2"/>
        <v>8.1666666666666661</v>
      </c>
      <c r="J8" s="11">
        <f t="shared" si="2"/>
        <v>6.75</v>
      </c>
      <c r="K8" s="11">
        <f t="shared" si="2"/>
        <v>8.75</v>
      </c>
      <c r="L8" s="11">
        <f t="shared" si="2"/>
        <v>6.333333333333333</v>
      </c>
      <c r="M8" s="12">
        <f t="shared" si="2"/>
        <v>7.6916666666666664</v>
      </c>
    </row>
    <row r="9" spans="1:14" x14ac:dyDescent="0.3">
      <c r="A9" s="1"/>
    </row>
    <row r="10" spans="1:14" x14ac:dyDescent="0.3">
      <c r="A10" s="1" t="s">
        <v>16</v>
      </c>
      <c r="B10" s="3" t="s">
        <v>48</v>
      </c>
      <c r="C10" s="1" t="s">
        <v>1</v>
      </c>
      <c r="D10" s="1" t="s">
        <v>2</v>
      </c>
      <c r="E10" s="1" t="s">
        <v>3</v>
      </c>
      <c r="F10" s="1" t="s">
        <v>4</v>
      </c>
      <c r="G10" s="1" t="s">
        <v>5</v>
      </c>
      <c r="H10" s="1" t="s">
        <v>6</v>
      </c>
      <c r="I10" s="1" t="s">
        <v>7</v>
      </c>
      <c r="J10" s="1" t="s">
        <v>8</v>
      </c>
      <c r="K10" s="1" t="s">
        <v>9</v>
      </c>
      <c r="L10" s="1" t="s">
        <v>10</v>
      </c>
      <c r="M10" s="1" t="s">
        <v>331</v>
      </c>
    </row>
    <row r="11" spans="1:14" x14ac:dyDescent="0.3">
      <c r="A11" s="7" t="s">
        <v>14</v>
      </c>
      <c r="B11" s="2" t="s">
        <v>45</v>
      </c>
      <c r="C11" s="8">
        <v>10</v>
      </c>
      <c r="D11" s="8">
        <v>8</v>
      </c>
      <c r="E11" s="8">
        <v>10</v>
      </c>
      <c r="F11" s="8">
        <v>8</v>
      </c>
      <c r="G11" s="8">
        <v>9</v>
      </c>
      <c r="H11" s="8">
        <v>9</v>
      </c>
      <c r="I11" s="8">
        <v>8.5</v>
      </c>
      <c r="J11" s="8">
        <v>9</v>
      </c>
      <c r="K11" s="8">
        <v>10</v>
      </c>
      <c r="L11" s="8">
        <v>8</v>
      </c>
      <c r="M11" s="9">
        <f>AVERAGE(C11:L11)</f>
        <v>8.9499999999999993</v>
      </c>
    </row>
    <row r="12" spans="1:14" x14ac:dyDescent="0.3">
      <c r="A12" s="7"/>
      <c r="B12" s="2" t="s">
        <v>46</v>
      </c>
      <c r="C12" s="8">
        <v>8</v>
      </c>
      <c r="D12" s="8">
        <v>7</v>
      </c>
      <c r="E12" s="8">
        <v>10</v>
      </c>
      <c r="F12" s="8">
        <v>6</v>
      </c>
      <c r="G12" s="8">
        <v>8</v>
      </c>
      <c r="H12" s="8">
        <v>7</v>
      </c>
      <c r="I12" s="8">
        <v>6</v>
      </c>
      <c r="J12" s="8">
        <v>8</v>
      </c>
      <c r="K12" s="8">
        <v>9</v>
      </c>
      <c r="L12" s="8">
        <v>4</v>
      </c>
      <c r="M12" s="9">
        <f t="shared" ref="M12:M16" si="3">AVERAGE(C12:L12)</f>
        <v>7.3</v>
      </c>
    </row>
    <row r="13" spans="1:14" x14ac:dyDescent="0.3">
      <c r="A13" s="1" t="s">
        <v>15</v>
      </c>
      <c r="B13" s="2" t="s">
        <v>42</v>
      </c>
      <c r="C13" s="8">
        <v>10</v>
      </c>
      <c r="D13" s="8">
        <v>10</v>
      </c>
      <c r="E13" s="8">
        <v>10</v>
      </c>
      <c r="F13" s="8">
        <v>10</v>
      </c>
      <c r="G13" s="8">
        <v>10</v>
      </c>
      <c r="H13" s="8">
        <v>10</v>
      </c>
      <c r="I13" s="8">
        <v>10</v>
      </c>
      <c r="J13" s="8">
        <v>10</v>
      </c>
      <c r="K13" s="8">
        <v>10</v>
      </c>
      <c r="L13" s="8">
        <v>10</v>
      </c>
      <c r="M13" s="9">
        <f t="shared" si="3"/>
        <v>10</v>
      </c>
    </row>
    <row r="14" spans="1:14" x14ac:dyDescent="0.3">
      <c r="A14" s="1" t="s">
        <v>21</v>
      </c>
      <c r="B14" s="2" t="s">
        <v>43</v>
      </c>
      <c r="C14" s="8">
        <v>10</v>
      </c>
      <c r="D14" s="8">
        <v>9</v>
      </c>
      <c r="E14" s="8">
        <v>9</v>
      </c>
      <c r="F14" s="8">
        <v>10</v>
      </c>
      <c r="G14" s="8">
        <v>10</v>
      </c>
      <c r="H14" s="8">
        <v>10</v>
      </c>
      <c r="I14" s="8">
        <v>9</v>
      </c>
      <c r="J14" s="8">
        <v>10</v>
      </c>
      <c r="K14" s="8">
        <v>10</v>
      </c>
      <c r="L14" s="8">
        <v>9</v>
      </c>
      <c r="M14" s="9">
        <f t="shared" si="3"/>
        <v>9.6</v>
      </c>
    </row>
    <row r="15" spans="1:14" x14ac:dyDescent="0.3">
      <c r="A15" s="4" t="s">
        <v>29</v>
      </c>
      <c r="B15" s="2" t="s">
        <v>41</v>
      </c>
      <c r="C15" s="8">
        <v>10</v>
      </c>
      <c r="D15" s="8">
        <v>10</v>
      </c>
      <c r="E15" s="8">
        <v>10</v>
      </c>
      <c r="F15" s="8">
        <v>10</v>
      </c>
      <c r="G15" s="8">
        <v>10</v>
      </c>
      <c r="H15" s="8">
        <v>10</v>
      </c>
      <c r="I15" s="8">
        <v>8</v>
      </c>
      <c r="J15" s="8">
        <v>10</v>
      </c>
      <c r="K15" s="8">
        <v>10</v>
      </c>
      <c r="L15" s="8">
        <v>10</v>
      </c>
      <c r="M15" s="9">
        <f t="shared" si="3"/>
        <v>9.8000000000000007</v>
      </c>
    </row>
    <row r="16" spans="1:14" x14ac:dyDescent="0.3">
      <c r="A16" s="4" t="s">
        <v>33</v>
      </c>
      <c r="B16" s="2" t="s">
        <v>44</v>
      </c>
      <c r="C16" s="8">
        <v>10</v>
      </c>
      <c r="D16" s="8">
        <v>8</v>
      </c>
      <c r="E16" s="8">
        <v>10</v>
      </c>
      <c r="F16" s="8">
        <v>10</v>
      </c>
      <c r="G16" s="8">
        <v>10</v>
      </c>
      <c r="H16" s="8">
        <v>8</v>
      </c>
      <c r="I16" s="8">
        <v>10</v>
      </c>
      <c r="J16" s="8">
        <v>10</v>
      </c>
      <c r="K16" s="8">
        <v>10</v>
      </c>
      <c r="L16" s="8">
        <v>9</v>
      </c>
      <c r="M16" s="9">
        <f t="shared" si="3"/>
        <v>9.5</v>
      </c>
    </row>
    <row r="17" spans="1:13" x14ac:dyDescent="0.3">
      <c r="A17" s="1" t="s">
        <v>331</v>
      </c>
      <c r="B17" s="2"/>
      <c r="C17" s="11">
        <f>AVERAGE(C11:C16)</f>
        <v>9.6666666666666661</v>
      </c>
      <c r="D17" s="11">
        <f t="shared" ref="D17" si="4">AVERAGE(D11:D16)</f>
        <v>8.6666666666666661</v>
      </c>
      <c r="E17" s="11">
        <f t="shared" ref="E17" si="5">AVERAGE(E11:E16)</f>
        <v>9.8333333333333339</v>
      </c>
      <c r="F17" s="11">
        <f t="shared" ref="F17" si="6">AVERAGE(F11:F16)</f>
        <v>9</v>
      </c>
      <c r="G17" s="11">
        <f t="shared" ref="G17" si="7">AVERAGE(G11:G16)</f>
        <v>9.5</v>
      </c>
      <c r="H17" s="11">
        <f t="shared" ref="H17" si="8">AVERAGE(H11:H16)</f>
        <v>9</v>
      </c>
      <c r="I17" s="11">
        <f t="shared" ref="I17" si="9">AVERAGE(I11:I16)</f>
        <v>8.5833333333333339</v>
      </c>
      <c r="J17" s="11">
        <f t="shared" ref="J17" si="10">AVERAGE(J11:J16)</f>
        <v>9.5</v>
      </c>
      <c r="K17" s="11">
        <f t="shared" ref="K17" si="11">AVERAGE(K11:K16)</f>
        <v>9.8333333333333339</v>
      </c>
      <c r="L17" s="11">
        <f t="shared" ref="L17" si="12">AVERAGE(L11:L16)</f>
        <v>8.3333333333333339</v>
      </c>
      <c r="M17" s="12">
        <f t="shared" ref="M17" si="13">AVERAGE(M11:M16)</f>
        <v>9.1916666666666682</v>
      </c>
    </row>
    <row r="18" spans="1:13" x14ac:dyDescent="0.3">
      <c r="A18" s="1"/>
      <c r="B18" s="2"/>
    </row>
    <row r="19" spans="1:13" x14ac:dyDescent="0.3">
      <c r="B19" s="2"/>
    </row>
    <row r="20" spans="1:13" x14ac:dyDescent="0.3">
      <c r="A20" s="5"/>
      <c r="B20" s="2"/>
    </row>
    <row r="21" spans="1:13" x14ac:dyDescent="0.3">
      <c r="A21" s="5"/>
    </row>
    <row r="22" spans="1:13" x14ac:dyDescent="0.3">
      <c r="A22" s="5"/>
      <c r="B22" s="2"/>
    </row>
    <row r="23" spans="1:13" x14ac:dyDescent="0.3">
      <c r="B23" s="2"/>
    </row>
    <row r="24" spans="1:13" x14ac:dyDescent="0.3">
      <c r="A24" s="5"/>
      <c r="B24" s="2"/>
    </row>
    <row r="25" spans="1:13" x14ac:dyDescent="0.3">
      <c r="A25" s="5"/>
      <c r="B25" s="2"/>
    </row>
    <row r="26" spans="1:13" x14ac:dyDescent="0.3">
      <c r="A26" s="5"/>
    </row>
    <row r="27" spans="1:13" x14ac:dyDescent="0.3">
      <c r="A27" s="4"/>
      <c r="B27" s="2"/>
    </row>
    <row r="28" spans="1:13" x14ac:dyDescent="0.3">
      <c r="A28" s="4"/>
      <c r="B28" s="2"/>
    </row>
    <row r="29" spans="1:13" x14ac:dyDescent="0.3">
      <c r="A29" s="4"/>
      <c r="B29" s="2"/>
    </row>
  </sheetData>
  <mergeCells count="2">
    <mergeCell ref="A2:A3"/>
    <mergeCell ref="A11:A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3</vt:i4>
      </vt:variant>
    </vt:vector>
  </HeadingPairs>
  <TitlesOfParts>
    <vt:vector size="3" baseType="lpstr">
      <vt:lpstr>Első</vt:lpstr>
      <vt:lpstr>Második</vt:lpstr>
      <vt:lpstr>Összevetés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Rajka Eszter</dc:creator>
  <cp:lastModifiedBy>László</cp:lastModifiedBy>
  <dcterms:created xsi:type="dcterms:W3CDTF">2015-06-05T18:17:20Z</dcterms:created>
  <dcterms:modified xsi:type="dcterms:W3CDTF">2025-11-24T17:31:59Z</dcterms:modified>
</cp:coreProperties>
</file>